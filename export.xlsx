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63d6fe77ee4271/Plocha/pt excely/kontrola_produktu/"/>
    </mc:Choice>
  </mc:AlternateContent>
  <xr:revisionPtr revIDLastSave="7" documentId="8_{EC444B58-81F2-484C-9A0C-18A987A0DB55}" xr6:coauthVersionLast="47" xr6:coauthVersionMax="47" xr10:uidLastSave="{C03E9ACF-1E61-4F83-8DF9-B86AA298F088}"/>
  <bookViews>
    <workbookView xWindow="-98" yWindow="-98" windowWidth="21795" windowHeight="13875" xr2:uid="{A2E7916D-1111-4B7D-B9BD-08E201C91CE7}"/>
  </bookViews>
  <sheets>
    <sheet name="export" sheetId="1" r:id="rId1"/>
  </sheets>
  <externalReferences>
    <externalReference r:id="rId2"/>
  </externalReferences>
  <definedNames>
    <definedName name="_xlnm._FilterDatabase" localSheetId="0" hidden="1">export!$A$1:$BC$387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92" i="1" l="1"/>
  <c r="D377" i="1"/>
  <c r="AV376" i="1"/>
  <c r="D376" i="1"/>
  <c r="AV375" i="1"/>
  <c r="AV374" i="1"/>
  <c r="D373" i="1"/>
  <c r="AV372" i="1"/>
  <c r="D372" i="1"/>
  <c r="AV371" i="1"/>
  <c r="AV370" i="1"/>
  <c r="Q370" i="1"/>
  <c r="D370" i="1" s="1"/>
  <c r="AV369" i="1"/>
  <c r="D369" i="1"/>
  <c r="AV368" i="1"/>
  <c r="D368" i="1"/>
  <c r="AV367" i="1"/>
  <c r="D367" i="1"/>
  <c r="AV366" i="1"/>
  <c r="D366" i="1"/>
  <c r="AV365" i="1"/>
  <c r="D365" i="1"/>
  <c r="AV364" i="1"/>
  <c r="AV363" i="1"/>
  <c r="O363" i="1"/>
  <c r="D363" i="1"/>
  <c r="AV362" i="1"/>
  <c r="AV361" i="1"/>
  <c r="D361" i="1"/>
  <c r="AV360" i="1"/>
  <c r="AV359" i="1"/>
  <c r="D359" i="1"/>
  <c r="AV358" i="1"/>
  <c r="D358" i="1"/>
  <c r="AV357" i="1"/>
  <c r="D357" i="1"/>
  <c r="AV356" i="1"/>
  <c r="AV355" i="1"/>
  <c r="AV354" i="1"/>
  <c r="D354" i="1"/>
  <c r="AV353" i="1"/>
  <c r="AV352" i="1"/>
  <c r="D352" i="1"/>
  <c r="AV351" i="1"/>
  <c r="D351" i="1"/>
  <c r="AV350" i="1"/>
  <c r="D350" i="1"/>
  <c r="AV349" i="1"/>
  <c r="D349" i="1"/>
  <c r="AV348" i="1"/>
  <c r="D348" i="1"/>
  <c r="AV347" i="1"/>
  <c r="D347" i="1"/>
  <c r="AV346" i="1"/>
  <c r="D346" i="1"/>
  <c r="AV345" i="1"/>
  <c r="D345" i="1"/>
  <c r="AV344" i="1"/>
  <c r="D344" i="1"/>
  <c r="AV343" i="1"/>
  <c r="D343" i="1"/>
  <c r="AV342" i="1"/>
  <c r="D342" i="1"/>
  <c r="AV341" i="1"/>
  <c r="AV340" i="1"/>
  <c r="D340" i="1"/>
  <c r="AV339" i="1"/>
  <c r="D339" i="1"/>
  <c r="AV338" i="1"/>
  <c r="AV337" i="1"/>
  <c r="AV336" i="1"/>
  <c r="D336" i="1"/>
  <c r="AV335" i="1"/>
  <c r="AV334" i="1"/>
  <c r="D334" i="1"/>
  <c r="AV333" i="1"/>
  <c r="D333" i="1"/>
  <c r="AV332" i="1"/>
  <c r="AV331" i="1"/>
  <c r="AV330" i="1"/>
  <c r="D330" i="1"/>
  <c r="AV329" i="1"/>
  <c r="D329" i="1"/>
  <c r="AV328" i="1"/>
  <c r="D328" i="1"/>
  <c r="AV327" i="1"/>
  <c r="D327" i="1"/>
  <c r="AV326" i="1"/>
  <c r="D326" i="1"/>
  <c r="AV325" i="1"/>
  <c r="D325" i="1"/>
  <c r="AV324" i="1"/>
  <c r="D324" i="1"/>
  <c r="AV323" i="1"/>
  <c r="D323" i="1"/>
  <c r="AV322" i="1"/>
  <c r="AV321" i="1"/>
  <c r="AV320" i="1"/>
  <c r="D320" i="1"/>
  <c r="AV319" i="1"/>
  <c r="AV318" i="1"/>
  <c r="AV317" i="1"/>
  <c r="AV316" i="1"/>
  <c r="AV315" i="1"/>
  <c r="AV314" i="1"/>
  <c r="AV313" i="1"/>
  <c r="AV312" i="1"/>
  <c r="D312" i="1"/>
  <c r="AV311" i="1"/>
  <c r="D311" i="1"/>
  <c r="AV310" i="1"/>
  <c r="D310" i="1"/>
  <c r="AV309" i="1"/>
  <c r="D309" i="1"/>
  <c r="AV308" i="1"/>
  <c r="D308" i="1"/>
  <c r="AV307" i="1"/>
  <c r="D307" i="1"/>
  <c r="AV306" i="1"/>
  <c r="D306" i="1"/>
  <c r="AV305" i="1"/>
  <c r="D305" i="1"/>
  <c r="AV304" i="1"/>
  <c r="D304" i="1"/>
  <c r="AV303" i="1"/>
  <c r="AV302" i="1"/>
  <c r="AV301" i="1"/>
  <c r="AV300" i="1"/>
  <c r="AV299" i="1"/>
  <c r="AV298" i="1"/>
  <c r="AV297" i="1"/>
  <c r="AV296" i="1"/>
  <c r="AV295" i="1"/>
  <c r="AV294" i="1"/>
  <c r="AV293" i="1"/>
  <c r="AV292" i="1"/>
  <c r="AV291" i="1"/>
  <c r="AV290" i="1"/>
  <c r="AV289" i="1"/>
  <c r="AV288" i="1"/>
  <c r="AV287" i="1"/>
  <c r="AV286" i="1"/>
  <c r="AV285" i="1"/>
  <c r="AV284" i="1"/>
  <c r="AV283" i="1"/>
  <c r="AV282" i="1"/>
  <c r="AV281" i="1"/>
  <c r="AV280" i="1"/>
  <c r="AV279" i="1"/>
  <c r="AV278" i="1"/>
  <c r="AV277" i="1"/>
  <c r="AV276" i="1"/>
  <c r="AV275" i="1"/>
  <c r="AV274" i="1"/>
  <c r="AV273" i="1"/>
  <c r="AV272" i="1"/>
  <c r="AV271" i="1"/>
  <c r="AV270" i="1"/>
  <c r="AV269" i="1"/>
  <c r="AV268" i="1"/>
  <c r="AV267" i="1"/>
  <c r="AV266" i="1"/>
  <c r="AV265" i="1"/>
  <c r="AV264" i="1"/>
  <c r="AV263" i="1"/>
  <c r="AV262" i="1"/>
  <c r="AV261" i="1"/>
  <c r="AV260" i="1"/>
  <c r="AV259" i="1"/>
  <c r="AV258" i="1"/>
  <c r="AV257" i="1"/>
  <c r="AV256" i="1"/>
  <c r="AV255" i="1"/>
  <c r="AV254" i="1"/>
  <c r="AV253" i="1"/>
  <c r="AV252" i="1"/>
  <c r="AV251" i="1"/>
  <c r="AV250" i="1"/>
  <c r="D250" i="1"/>
  <c r="AV249" i="1"/>
  <c r="D249" i="1"/>
  <c r="AV248" i="1"/>
  <c r="D248" i="1"/>
  <c r="AV247" i="1"/>
  <c r="D247" i="1"/>
  <c r="AV246" i="1"/>
  <c r="D246" i="1"/>
  <c r="AV245" i="1"/>
  <c r="D245" i="1"/>
  <c r="AV244" i="1"/>
  <c r="D244" i="1"/>
  <c r="AV243" i="1"/>
  <c r="D243" i="1"/>
  <c r="AV242" i="1"/>
  <c r="D242" i="1"/>
  <c r="AV241" i="1"/>
  <c r="D241" i="1"/>
  <c r="AV240" i="1"/>
  <c r="D240" i="1"/>
  <c r="AV239" i="1"/>
  <c r="AV238" i="1"/>
  <c r="AV237" i="1"/>
  <c r="AV236" i="1"/>
  <c r="D236" i="1"/>
  <c r="AV235" i="1"/>
  <c r="D235" i="1"/>
  <c r="AV234" i="1"/>
  <c r="D234" i="1"/>
  <c r="AV233" i="1"/>
  <c r="D233" i="1"/>
  <c r="AV232" i="1"/>
  <c r="AV231" i="1"/>
  <c r="AV230" i="1"/>
  <c r="AV229" i="1"/>
  <c r="AV228" i="1"/>
  <c r="AV227" i="1"/>
  <c r="AV226" i="1"/>
  <c r="AV225" i="1"/>
  <c r="AV224" i="1"/>
  <c r="AV223" i="1"/>
  <c r="D223" i="1"/>
  <c r="AV222" i="1"/>
  <c r="AV221" i="1"/>
  <c r="AV220" i="1"/>
  <c r="AV219" i="1"/>
  <c r="D219" i="1"/>
  <c r="AV218" i="1"/>
  <c r="D218" i="1"/>
  <c r="AV217" i="1"/>
  <c r="D217" i="1"/>
  <c r="AV216" i="1"/>
  <c r="D216" i="1"/>
  <c r="AV215" i="1"/>
  <c r="AV214" i="1"/>
  <c r="D214" i="1"/>
  <c r="AV213" i="1"/>
  <c r="D213" i="1"/>
  <c r="AV210" i="1"/>
  <c r="D210" i="1"/>
  <c r="AV209" i="1"/>
  <c r="D209" i="1"/>
  <c r="AV208" i="1"/>
  <c r="D208" i="1"/>
  <c r="AV207" i="1"/>
  <c r="AV206" i="1"/>
  <c r="D206" i="1"/>
  <c r="AV205" i="1"/>
  <c r="D205" i="1"/>
  <c r="AV204" i="1"/>
  <c r="AV203" i="1"/>
  <c r="AV202" i="1"/>
  <c r="D202" i="1"/>
  <c r="AV201" i="1"/>
  <c r="D201" i="1"/>
  <c r="AV200" i="1"/>
  <c r="D200" i="1"/>
  <c r="AV199" i="1"/>
  <c r="D199" i="1"/>
  <c r="AV198" i="1"/>
  <c r="D198" i="1"/>
  <c r="AV197" i="1"/>
  <c r="D197" i="1"/>
  <c r="AV196" i="1"/>
  <c r="D196" i="1"/>
  <c r="AV195" i="1"/>
  <c r="D195" i="1"/>
  <c r="AV194" i="1"/>
  <c r="D194" i="1"/>
  <c r="AV193" i="1"/>
  <c r="D193" i="1"/>
  <c r="S192" i="1"/>
  <c r="Q192" i="1"/>
  <c r="O192" i="1"/>
  <c r="M192" i="1"/>
  <c r="K192" i="1"/>
  <c r="AV192" i="1" s="1"/>
  <c r="D192" i="1"/>
  <c r="S191" i="1"/>
  <c r="AV191" i="1" s="1"/>
  <c r="AV190" i="1"/>
  <c r="K190" i="1"/>
  <c r="D190" i="1"/>
  <c r="K189" i="1"/>
  <c r="AV189" i="1" s="1"/>
  <c r="D189" i="1"/>
  <c r="Q188" i="1"/>
  <c r="O188" i="1"/>
  <c r="M188" i="1"/>
  <c r="K188" i="1"/>
  <c r="D188" i="1" s="1"/>
  <c r="AV187" i="1"/>
  <c r="O187" i="1"/>
  <c r="M187" i="1"/>
  <c r="K187" i="1"/>
  <c r="D187" i="1"/>
  <c r="AV186" i="1"/>
  <c r="D186" i="1"/>
  <c r="AV185" i="1"/>
  <c r="D185" i="1"/>
  <c r="AV184" i="1"/>
  <c r="D184" i="1"/>
  <c r="AV183" i="1"/>
  <c r="D183" i="1"/>
  <c r="AV182" i="1"/>
  <c r="D182" i="1"/>
  <c r="AV181" i="1"/>
  <c r="D181" i="1"/>
  <c r="AV180" i="1"/>
  <c r="D180" i="1"/>
  <c r="AV179" i="1"/>
  <c r="D179" i="1"/>
  <c r="AV178" i="1"/>
  <c r="D178" i="1"/>
  <c r="AV177" i="1"/>
  <c r="D177" i="1"/>
  <c r="AV176" i="1"/>
  <c r="D176" i="1"/>
  <c r="AV175" i="1"/>
  <c r="D175" i="1"/>
  <c r="AV174" i="1"/>
  <c r="D174" i="1"/>
  <c r="AV173" i="1"/>
  <c r="D173" i="1"/>
  <c r="AV172" i="1"/>
  <c r="D172" i="1"/>
  <c r="AV171" i="1"/>
  <c r="D171" i="1"/>
  <c r="AV170" i="1"/>
  <c r="D170" i="1"/>
  <c r="AV169" i="1"/>
  <c r="D169" i="1"/>
  <c r="AV168" i="1"/>
  <c r="D168" i="1"/>
  <c r="AV167" i="1"/>
  <c r="D167" i="1"/>
  <c r="AV166" i="1"/>
  <c r="D166" i="1"/>
  <c r="AV165" i="1"/>
  <c r="D165" i="1"/>
  <c r="AV164" i="1"/>
  <c r="AV163" i="1"/>
  <c r="AV162" i="1"/>
  <c r="AV161" i="1"/>
  <c r="AV160" i="1"/>
  <c r="AV159" i="1"/>
  <c r="AV158" i="1"/>
  <c r="AV157" i="1"/>
  <c r="AV156" i="1"/>
  <c r="AV155" i="1"/>
  <c r="AV154" i="1"/>
  <c r="AV153" i="1"/>
  <c r="AV152" i="1"/>
  <c r="AV151" i="1"/>
  <c r="AV150" i="1"/>
  <c r="AV149" i="1"/>
  <c r="AV148" i="1"/>
  <c r="D148" i="1"/>
  <c r="AV147" i="1"/>
  <c r="D147" i="1"/>
  <c r="AV146" i="1"/>
  <c r="D146" i="1"/>
  <c r="AV145" i="1"/>
  <c r="D145" i="1"/>
  <c r="AV144" i="1"/>
  <c r="AV143" i="1"/>
  <c r="D143" i="1"/>
  <c r="AV142" i="1"/>
  <c r="D142" i="1"/>
  <c r="AV141" i="1"/>
  <c r="D141" i="1"/>
  <c r="AV140" i="1"/>
  <c r="AV139" i="1"/>
  <c r="D139" i="1"/>
  <c r="AV138" i="1"/>
  <c r="D138" i="1"/>
  <c r="AV137" i="1"/>
  <c r="D137" i="1"/>
  <c r="AV136" i="1"/>
  <c r="D136" i="1"/>
  <c r="AV135" i="1"/>
  <c r="D135" i="1"/>
  <c r="AV134" i="1"/>
  <c r="D134" i="1"/>
  <c r="AV133" i="1"/>
  <c r="D133" i="1"/>
  <c r="AV132" i="1"/>
  <c r="D132" i="1"/>
  <c r="AV131" i="1"/>
  <c r="D131" i="1"/>
  <c r="AV130" i="1"/>
  <c r="D130" i="1"/>
  <c r="AV129" i="1"/>
  <c r="D129" i="1"/>
  <c r="AV128" i="1"/>
  <c r="AV127" i="1"/>
  <c r="D127" i="1"/>
  <c r="AV126" i="1"/>
  <c r="D126" i="1"/>
  <c r="AV125" i="1"/>
  <c r="D125" i="1"/>
  <c r="AV124" i="1"/>
  <c r="D124" i="1"/>
  <c r="AV123" i="1"/>
  <c r="D123" i="1"/>
  <c r="AV122" i="1"/>
  <c r="D122" i="1"/>
  <c r="AV121" i="1"/>
  <c r="D121" i="1"/>
  <c r="AV120" i="1"/>
  <c r="D120" i="1"/>
  <c r="AV119" i="1"/>
  <c r="D119" i="1"/>
  <c r="AV118" i="1"/>
  <c r="D118" i="1"/>
  <c r="AV117" i="1"/>
  <c r="AV116" i="1"/>
  <c r="AV115" i="1"/>
  <c r="D115" i="1"/>
  <c r="AV114" i="1"/>
  <c r="D114" i="1"/>
  <c r="AV113" i="1"/>
  <c r="D113" i="1"/>
  <c r="AV112" i="1"/>
  <c r="D112" i="1"/>
  <c r="AV111" i="1"/>
  <c r="D111" i="1"/>
  <c r="AV110" i="1"/>
  <c r="D110" i="1"/>
  <c r="AV109" i="1"/>
  <c r="D109" i="1"/>
  <c r="AV108" i="1"/>
  <c r="D108" i="1"/>
  <c r="AV107" i="1"/>
  <c r="D107" i="1"/>
  <c r="AV106" i="1"/>
  <c r="D106" i="1"/>
  <c r="AV105" i="1"/>
  <c r="D105" i="1"/>
  <c r="AV104" i="1"/>
  <c r="D104" i="1"/>
  <c r="AV103" i="1"/>
  <c r="D103" i="1"/>
  <c r="AV102" i="1"/>
  <c r="D102" i="1"/>
  <c r="AV101" i="1"/>
  <c r="D101" i="1"/>
  <c r="AV100" i="1"/>
  <c r="D100" i="1"/>
  <c r="AV99" i="1"/>
  <c r="D99" i="1"/>
  <c r="AV98" i="1"/>
  <c r="D98" i="1"/>
  <c r="AV97" i="1"/>
  <c r="D97" i="1"/>
  <c r="AV96" i="1"/>
  <c r="D96" i="1"/>
  <c r="AV95" i="1"/>
  <c r="D95" i="1"/>
  <c r="AV94" i="1"/>
  <c r="D94" i="1"/>
  <c r="AV93" i="1"/>
  <c r="D93" i="1"/>
  <c r="AV92" i="1"/>
  <c r="D92" i="1"/>
  <c r="AV91" i="1"/>
  <c r="D91" i="1"/>
  <c r="AV90" i="1"/>
  <c r="D90" i="1"/>
  <c r="AV89" i="1"/>
  <c r="D89" i="1"/>
  <c r="AV88" i="1"/>
  <c r="D88" i="1"/>
  <c r="AV87" i="1"/>
  <c r="D87" i="1"/>
  <c r="AV86" i="1"/>
  <c r="D86" i="1"/>
  <c r="D35" i="1" s="1"/>
  <c r="AV85" i="1"/>
  <c r="D85" i="1"/>
  <c r="AV84" i="1"/>
  <c r="D84" i="1"/>
  <c r="AV83" i="1"/>
  <c r="AV82" i="1"/>
  <c r="AV81" i="1"/>
  <c r="AV80" i="1"/>
  <c r="D80" i="1"/>
  <c r="AV79" i="1"/>
  <c r="D79" i="1"/>
  <c r="AV78" i="1"/>
  <c r="D78" i="1"/>
  <c r="AV77" i="1"/>
  <c r="D77" i="1"/>
  <c r="AV76" i="1"/>
  <c r="D76" i="1"/>
  <c r="AV75" i="1"/>
  <c r="D75" i="1"/>
  <c r="AV74" i="1"/>
  <c r="AV73" i="1"/>
  <c r="AV72" i="1"/>
  <c r="D72" i="1"/>
  <c r="AV71" i="1"/>
  <c r="D71" i="1"/>
  <c r="AV70" i="1"/>
  <c r="D70" i="1"/>
  <c r="AV69" i="1"/>
  <c r="D69" i="1"/>
  <c r="AV68" i="1"/>
  <c r="D68" i="1"/>
  <c r="AV67" i="1"/>
  <c r="D67" i="1"/>
  <c r="AV66" i="1"/>
  <c r="D66" i="1"/>
  <c r="AV65" i="1"/>
  <c r="D65" i="1"/>
  <c r="AV64" i="1"/>
  <c r="D64" i="1"/>
  <c r="AV63" i="1"/>
  <c r="D63" i="1"/>
  <c r="AV62" i="1"/>
  <c r="D62" i="1"/>
  <c r="AV61" i="1"/>
  <c r="D61" i="1"/>
  <c r="AV60" i="1"/>
  <c r="D60" i="1"/>
  <c r="AV59" i="1"/>
  <c r="D59" i="1"/>
  <c r="AV58" i="1"/>
  <c r="D58" i="1"/>
  <c r="AV57" i="1"/>
  <c r="AV56" i="1"/>
  <c r="AV55" i="1"/>
  <c r="AV54" i="1"/>
  <c r="D54" i="1"/>
  <c r="AV53" i="1"/>
  <c r="D53" i="1"/>
  <c r="AV52" i="1"/>
  <c r="D52" i="1"/>
  <c r="AV51" i="1"/>
  <c r="D51" i="1"/>
  <c r="AV50" i="1"/>
  <c r="D50" i="1"/>
  <c r="AV49" i="1"/>
  <c r="D49" i="1"/>
  <c r="AV48" i="1"/>
  <c r="D48" i="1"/>
  <c r="AV47" i="1"/>
  <c r="D47" i="1"/>
  <c r="AV46" i="1"/>
  <c r="D46" i="1"/>
  <c r="AV45" i="1"/>
  <c r="D45" i="1"/>
  <c r="AV44" i="1"/>
  <c r="D44" i="1"/>
  <c r="AV43" i="1"/>
  <c r="D43" i="1"/>
  <c r="AV42" i="1"/>
  <c r="D42" i="1"/>
  <c r="AV41" i="1"/>
  <c r="D41" i="1"/>
  <c r="AV40" i="1"/>
  <c r="D40" i="1"/>
  <c r="AV39" i="1"/>
  <c r="D39" i="1"/>
  <c r="AV38" i="1"/>
  <c r="D38" i="1"/>
  <c r="AV37" i="1"/>
  <c r="D37" i="1"/>
  <c r="AV36" i="1"/>
  <c r="D36" i="1"/>
  <c r="AV35" i="1"/>
  <c r="AV34" i="1"/>
  <c r="D34" i="1"/>
  <c r="AV33" i="1"/>
  <c r="D33" i="1"/>
  <c r="AV32" i="1"/>
  <c r="D32" i="1"/>
  <c r="AV31" i="1"/>
  <c r="D31" i="1"/>
  <c r="AV30" i="1"/>
  <c r="D30" i="1"/>
  <c r="AV29" i="1"/>
  <c r="D29" i="1"/>
  <c r="AV28" i="1"/>
  <c r="D28" i="1"/>
  <c r="AV27" i="1"/>
  <c r="D27" i="1"/>
  <c r="AV26" i="1"/>
  <c r="D26" i="1"/>
  <c r="AV25" i="1"/>
  <c r="D25" i="1"/>
  <c r="AV24" i="1"/>
  <c r="D24" i="1"/>
  <c r="AV23" i="1"/>
  <c r="D23" i="1"/>
  <c r="AV22" i="1"/>
  <c r="D22" i="1"/>
  <c r="AV21" i="1"/>
  <c r="D21" i="1"/>
  <c r="AV20" i="1"/>
  <c r="D20" i="1"/>
  <c r="AV19" i="1"/>
  <c r="D19" i="1"/>
  <c r="AV18" i="1"/>
  <c r="D18" i="1"/>
  <c r="AV17" i="1"/>
  <c r="D17" i="1"/>
  <c r="AV16" i="1"/>
  <c r="D16" i="1"/>
  <c r="AV15" i="1"/>
  <c r="D15" i="1"/>
  <c r="AV14" i="1"/>
  <c r="D14" i="1"/>
  <c r="AV13" i="1"/>
  <c r="D13" i="1"/>
  <c r="AV12" i="1"/>
  <c r="D12" i="1"/>
  <c r="AV11" i="1"/>
  <c r="D11" i="1"/>
  <c r="AV10" i="1"/>
  <c r="D10" i="1"/>
  <c r="AV9" i="1"/>
  <c r="D9" i="1"/>
  <c r="AV8" i="1"/>
  <c r="D8" i="1"/>
  <c r="AV7" i="1"/>
  <c r="D7" i="1"/>
  <c r="AV6" i="1"/>
  <c r="D6" i="1"/>
  <c r="AV5" i="1"/>
  <c r="D5" i="1"/>
  <c r="AV4" i="1"/>
  <c r="D4" i="1"/>
  <c r="AV3" i="1"/>
  <c r="AV2" i="1"/>
  <c r="D2" i="1"/>
  <c r="AV188" i="1" l="1"/>
  <c r="D191" i="1"/>
</calcChain>
</file>

<file path=xl/sharedStrings.xml><?xml version="1.0" encoding="utf-8"?>
<sst xmlns="http://schemas.openxmlformats.org/spreadsheetml/2006/main" count="2848" uniqueCount="693">
  <si>
    <t>ID</t>
  </si>
  <si>
    <t>Název produktu</t>
  </si>
  <si>
    <t>kategorie</t>
  </si>
  <si>
    <t>hmotnost</t>
  </si>
  <si>
    <t xml:space="preserve">velikost </t>
  </si>
  <si>
    <t xml:space="preserve">z </t>
  </si>
  <si>
    <t xml:space="preserve">kolika </t>
  </si>
  <si>
    <t>Základ</t>
  </si>
  <si>
    <t>počet kusů pečiva</t>
  </si>
  <si>
    <t xml:space="preserve">mazání </t>
  </si>
  <si>
    <t>hmotnost suroviny ve sloupci J</t>
  </si>
  <si>
    <t>složení 1</t>
  </si>
  <si>
    <t>hmotnost 1 - suroviny ve sloupci L</t>
  </si>
  <si>
    <t>složení 2</t>
  </si>
  <si>
    <t>hmotnost 2 - suroviny ve sloupci N</t>
  </si>
  <si>
    <t>složení 3</t>
  </si>
  <si>
    <t xml:space="preserve">hmotnost 3  - suroviny ve sloupci P </t>
  </si>
  <si>
    <t>složení 4</t>
  </si>
  <si>
    <t>hmotnost 4 - suroviny ve slupci R</t>
  </si>
  <si>
    <t>složení 5</t>
  </si>
  <si>
    <t>hmotnost 5 - suroviny ve slooupci T</t>
  </si>
  <si>
    <t>složení 6</t>
  </si>
  <si>
    <t>hmotnost 6 - suroviny ve sloupci V</t>
  </si>
  <si>
    <t>složení 7</t>
  </si>
  <si>
    <t>hmotnost 7 - suroviny ve sloupci X</t>
  </si>
  <si>
    <t>složení 8</t>
  </si>
  <si>
    <t>hmotnost 8 - suroviny ve sloupci Z</t>
  </si>
  <si>
    <t>složení 9</t>
  </si>
  <si>
    <t>hmotnost 9 - sueroviny ve sloupci AB</t>
  </si>
  <si>
    <t>složení 10</t>
  </si>
  <si>
    <t>hmotnost 10 -suroviny ve sloupci AD</t>
  </si>
  <si>
    <t>složení 11</t>
  </si>
  <si>
    <t>hmotnost 11 - suroviny ve sloupci AF</t>
  </si>
  <si>
    <t>složení 12</t>
  </si>
  <si>
    <t>hmotnost 12 suroviny ve sloupci AH</t>
  </si>
  <si>
    <t>složení 13</t>
  </si>
  <si>
    <t>hmotnost 13 - suroviny ve slupci AJ</t>
  </si>
  <si>
    <t>složení 14</t>
  </si>
  <si>
    <t>hmotnost 14 -suroviny ve sloupci AL</t>
  </si>
  <si>
    <t>složení 15</t>
  </si>
  <si>
    <t>hmotnost 15</t>
  </si>
  <si>
    <t>složení 16</t>
  </si>
  <si>
    <t>hmotnost 16</t>
  </si>
  <si>
    <t>složení 17</t>
  </si>
  <si>
    <t>hmotnost 17</t>
  </si>
  <si>
    <t>složení 18</t>
  </si>
  <si>
    <t>hmotnost 18</t>
  </si>
  <si>
    <t>hmotnost celkem</t>
  </si>
  <si>
    <t>Anglický roastbeef s wasabi créme fraîche</t>
  </si>
  <si>
    <t>Kanapky</t>
  </si>
  <si>
    <t>/</t>
  </si>
  <si>
    <t>toustový chleb</t>
  </si>
  <si>
    <t>pomazánkové máslo</t>
  </si>
  <si>
    <t>roastbeef</t>
  </si>
  <si>
    <t>wasabi</t>
  </si>
  <si>
    <t>paprika</t>
  </si>
  <si>
    <t>petržel list</t>
  </si>
  <si>
    <t>semínka</t>
  </si>
  <si>
    <t>Automatický kávovar set</t>
  </si>
  <si>
    <t>Nápoje</t>
  </si>
  <si>
    <t>Avokádový chlebíček</t>
  </si>
  <si>
    <t>Chlebíčky</t>
  </si>
  <si>
    <t>veka</t>
  </si>
  <si>
    <t>avokádo</t>
  </si>
  <si>
    <t>rajčata</t>
  </si>
  <si>
    <t>citron</t>
  </si>
  <si>
    <t>klíčky</t>
  </si>
  <si>
    <t>Bageta s kuřecími stripsy v kukuřičném těstíčku</t>
  </si>
  <si>
    <t>Bagety &amp;amp; Sandwiche</t>
  </si>
  <si>
    <t>bagetka</t>
  </si>
  <si>
    <t>sweetchilli pomazánka</t>
  </si>
  <si>
    <t>kuřecí řizky</t>
  </si>
  <si>
    <t>salát lollo biondo</t>
  </si>
  <si>
    <t>Bagetka caprese</t>
  </si>
  <si>
    <t>pesto</t>
  </si>
  <si>
    <t>mozzarella</t>
  </si>
  <si>
    <t>rukola</t>
  </si>
  <si>
    <t>Bagetka s jablky a nivou</t>
  </si>
  <si>
    <t>kari pomazánka</t>
  </si>
  <si>
    <t>niva</t>
  </si>
  <si>
    <t>jablka</t>
  </si>
  <si>
    <t>Bagetka s kozím sýrem a sušenými rajčaty</t>
  </si>
  <si>
    <t>brusinková omáčka</t>
  </si>
  <si>
    <t>kozí sýr</t>
  </si>
  <si>
    <t>sušená rajčata</t>
  </si>
  <si>
    <t>Bagetka s roastbeefem</t>
  </si>
  <si>
    <t>hořčičný dresink</t>
  </si>
  <si>
    <t>sezam</t>
  </si>
  <si>
    <t>Bagetka s uzeným lososem</t>
  </si>
  <si>
    <t>losos uzený</t>
  </si>
  <si>
    <t>salátová okurka</t>
  </si>
  <si>
    <t>kopr</t>
  </si>
  <si>
    <t>Bagetka s vepřovým karé</t>
  </si>
  <si>
    <t>vepřové karé</t>
  </si>
  <si>
    <t>Bagetka s veřovým karé</t>
  </si>
  <si>
    <t>Bagetka sýrová</t>
  </si>
  <si>
    <t>eidam</t>
  </si>
  <si>
    <t>Bagetka šunka a sýr (100g)</t>
  </si>
  <si>
    <t>šunka dušená</t>
  </si>
  <si>
    <t>Bagetka šunka sýr</t>
  </si>
  <si>
    <t>kyselé okurky</t>
  </si>
  <si>
    <t>Bagetka šunková</t>
  </si>
  <si>
    <t>Bezlepková bagetka caprese</t>
  </si>
  <si>
    <t>bezlepková bagetka</t>
  </si>
  <si>
    <t>Bezlepková bagetka s grilovanou zeleninou</t>
  </si>
  <si>
    <t>hummus</t>
  </si>
  <si>
    <t>lilek</t>
  </si>
  <si>
    <t>cuketa</t>
  </si>
  <si>
    <t>balkanský sýr</t>
  </si>
  <si>
    <t>rozmarýn</t>
  </si>
  <si>
    <t>Bezlepková bagetka s parmskou šunkou</t>
  </si>
  <si>
    <t>parmská šunka</t>
  </si>
  <si>
    <t>meloun žlutý</t>
  </si>
  <si>
    <t>Bezlepková bagetka s uzeným lososem</t>
  </si>
  <si>
    <t>Bezlepková bagetka se sušenými rajčaty</t>
  </si>
  <si>
    <t>Bezlepková bulka caprese</t>
  </si>
  <si>
    <t>Bezlepková bulka s grilovanou zeleninou</t>
  </si>
  <si>
    <t>Bramborový salát</t>
  </si>
  <si>
    <t>Saláty</t>
  </si>
  <si>
    <t>brambory</t>
  </si>
  <si>
    <t>mrkev</t>
  </si>
  <si>
    <t>celer</t>
  </si>
  <si>
    <t>hrášek</t>
  </si>
  <si>
    <t>majonéza</t>
  </si>
  <si>
    <t>Brie a brusinky tapas</t>
  </si>
  <si>
    <t>Tapas</t>
  </si>
  <si>
    <t>francouzská bageta</t>
  </si>
  <si>
    <t>hermelín</t>
  </si>
  <si>
    <t>vlašské ořechy</t>
  </si>
  <si>
    <t>Burger caprese</t>
  </si>
  <si>
    <t>Burgery</t>
  </si>
  <si>
    <t>burger mini brioška</t>
  </si>
  <si>
    <t>Burger s grilovanou zeleninou</t>
  </si>
  <si>
    <t>Burger s kozím sýrem</t>
  </si>
  <si>
    <t>Burger s nivou</t>
  </si>
  <si>
    <t>Burger s roastbeefem</t>
  </si>
  <si>
    <t>Burger s trhaným hovězím masem a chedarem</t>
  </si>
  <si>
    <t>BBQ omáčka</t>
  </si>
  <si>
    <t>trhané hovězí maso</t>
  </si>
  <si>
    <t>jalapenos</t>
  </si>
  <si>
    <t>čeddar</t>
  </si>
  <si>
    <t>Burger s trhaným kuřecím masem a pomerančem</t>
  </si>
  <si>
    <t>BurgeryEXPRESS</t>
  </si>
  <si>
    <t>kuřecí prsa</t>
  </si>
  <si>
    <t>pomeranče</t>
  </si>
  <si>
    <t>Burger s trhaným vepřovým masem</t>
  </si>
  <si>
    <t>vepřové trhané maso</t>
  </si>
  <si>
    <t>beraní rohy</t>
  </si>
  <si>
    <t>sušená cibulka</t>
  </si>
  <si>
    <t>Burger s uzeným lososem</t>
  </si>
  <si>
    <t>Burger s vepřovým karé</t>
  </si>
  <si>
    <t>Burger sýrový</t>
  </si>
  <si>
    <t>Burger šunka sýr</t>
  </si>
  <si>
    <t>Burger šunkový</t>
  </si>
  <si>
    <t>wasabi máslo</t>
  </si>
  <si>
    <t>Caesar salát s kuřecím masem a krutonky</t>
  </si>
  <si>
    <t>římský salát</t>
  </si>
  <si>
    <t>cherry rajčata</t>
  </si>
  <si>
    <t>krutony</t>
  </si>
  <si>
    <t xml:space="preserve">parmazan </t>
  </si>
  <si>
    <t>slanina</t>
  </si>
  <si>
    <t>Canneloni mini borůvky</t>
  </si>
  <si>
    <t>Cukrárna</t>
  </si>
  <si>
    <t>cannoli</t>
  </si>
  <si>
    <t>borůvkový krém</t>
  </si>
  <si>
    <t>Canneloni mini čokoláda</t>
  </si>
  <si>
    <t>čokoládový krém</t>
  </si>
  <si>
    <t>kokos</t>
  </si>
  <si>
    <t>Canneloni mini pistácie</t>
  </si>
  <si>
    <t>pistaciový krém</t>
  </si>
  <si>
    <t>pistácie</t>
  </si>
  <si>
    <t>Caprese tapas</t>
  </si>
  <si>
    <t>olivový olej</t>
  </si>
  <si>
    <t>bazalka</t>
  </si>
  <si>
    <t>Ciabatta s jablky a nivou</t>
  </si>
  <si>
    <t>ciabatta</t>
  </si>
  <si>
    <t>Ciabatta s kozím sýrem</t>
  </si>
  <si>
    <t>Ciabatta s roastbeefem</t>
  </si>
  <si>
    <t>Ciabatta s vepřovým karé</t>
  </si>
  <si>
    <t>koření na kuře</t>
  </si>
  <si>
    <t>Ciabatta sýrová</t>
  </si>
  <si>
    <t>Ciabatta šunka sýr</t>
  </si>
  <si>
    <t>Ciabatta šunková</t>
  </si>
  <si>
    <t>CIabbata s grilovanou zeleninou a balkánským sýrem</t>
  </si>
  <si>
    <t>Cizrnový salát</t>
  </si>
  <si>
    <t>cizrna</t>
  </si>
  <si>
    <t>koriandr</t>
  </si>
  <si>
    <t>Cizrnový salátek</t>
  </si>
  <si>
    <t>Coca Cola plech 0,33 ml</t>
  </si>
  <si>
    <t>Coca Cola Zero plech 0,33 l</t>
  </si>
  <si>
    <t>Coleslaw tapas</t>
  </si>
  <si>
    <t>Cous Cous s grilovanou zeleninou (1000g)</t>
  </si>
  <si>
    <t>zelí</t>
  </si>
  <si>
    <t>kurkuma</t>
  </si>
  <si>
    <t>ocet</t>
  </si>
  <si>
    <t>Cous Cous s grilovanou zeleninou (80g)</t>
  </si>
  <si>
    <t>Cous Cous</t>
  </si>
  <si>
    <t>Croissant caprese</t>
  </si>
  <si>
    <t>coissant velký máslový</t>
  </si>
  <si>
    <t>Croissant čokoládový</t>
  </si>
  <si>
    <t>čokoladový pudink</t>
  </si>
  <si>
    <t>Croissant karamelový</t>
  </si>
  <si>
    <t>karamelový pudink</t>
  </si>
  <si>
    <t>čokoladové sypaní bilé</t>
  </si>
  <si>
    <t>Croissant pistáciový</t>
  </si>
  <si>
    <t>čokoládové sypání</t>
  </si>
  <si>
    <t>Croissant s brie</t>
  </si>
  <si>
    <t>mandle</t>
  </si>
  <si>
    <t>Croissant s grilovanou zeleninou</t>
  </si>
  <si>
    <t>Croissant s kuřecími řízečky</t>
  </si>
  <si>
    <t>Croissant s uzeným lososem</t>
  </si>
  <si>
    <t>Croissant šunka a sýr</t>
  </si>
  <si>
    <t>Croissant šunkový</t>
  </si>
  <si>
    <t>Čokoládová tartaletka</t>
  </si>
  <si>
    <t>tartaletka sladká</t>
  </si>
  <si>
    <t>Datlový dezert</t>
  </si>
  <si>
    <t>sušené banány</t>
  </si>
  <si>
    <t>tvaroh</t>
  </si>
  <si>
    <t>datle</t>
  </si>
  <si>
    <t>cukr krystal</t>
  </si>
  <si>
    <t>mango mražené</t>
  </si>
  <si>
    <t>Dobrá voda Jemně perlivá přírodní minerální voda 0,5l</t>
  </si>
  <si>
    <t>smetana 35</t>
  </si>
  <si>
    <t>Dobrá voda Neperlivá přírodní minerální voda 0,5l</t>
  </si>
  <si>
    <t>Domácí paštika tapsas</t>
  </si>
  <si>
    <t>paštika</t>
  </si>
  <si>
    <t>tymián</t>
  </si>
  <si>
    <t>granátové jablko</t>
  </si>
  <si>
    <t>Dýně hokkaido ve slanince</t>
  </si>
  <si>
    <t>sušené švestky</t>
  </si>
  <si>
    <t>Dýňové tapas</t>
  </si>
  <si>
    <t>dýně hokkaido</t>
  </si>
  <si>
    <t>česnek</t>
  </si>
  <si>
    <t>dýňová semínka</t>
  </si>
  <si>
    <t>Exkluzivní uzeniny s marinovanou zeleninou (1500g)</t>
  </si>
  <si>
    <t>Mísy a sety</t>
  </si>
  <si>
    <t>salám Miláno</t>
  </si>
  <si>
    <t>chorizo</t>
  </si>
  <si>
    <t>nakládané cibulky</t>
  </si>
  <si>
    <t>Exkluzivní uzeniny s marinovanou zeleninou (600g)</t>
  </si>
  <si>
    <t>Fazolový salátek</t>
  </si>
  <si>
    <t>fazole bilá</t>
  </si>
  <si>
    <t>fazole červerná</t>
  </si>
  <si>
    <t>Finger Food set exkluzivní - 24ks</t>
  </si>
  <si>
    <t>Finger food set exotic 24 ks</t>
  </si>
  <si>
    <t>Mísy a setyKanapky</t>
  </si>
  <si>
    <t>Finger Food set standartní – 24ks</t>
  </si>
  <si>
    <t>Fitness salát</t>
  </si>
  <si>
    <t>Grilovaný lilek s mátovým créme fraîche</t>
  </si>
  <si>
    <t>máta</t>
  </si>
  <si>
    <t>Guacamole a losos tapas</t>
  </si>
  <si>
    <t>guacamole</t>
  </si>
  <si>
    <t>Hermelínové tapas</t>
  </si>
  <si>
    <t>červená cibule</t>
  </si>
  <si>
    <t>Hummus s rajčaty</t>
  </si>
  <si>
    <t>grissini</t>
  </si>
  <si>
    <t>Cheesecake</t>
  </si>
  <si>
    <t>BB sušenky světlé</t>
  </si>
  <si>
    <t>maliny mražené</t>
  </si>
  <si>
    <t>Chlebíček caprese</t>
  </si>
  <si>
    <t>Chlebíček hermelínový</t>
  </si>
  <si>
    <t>vejce</t>
  </si>
  <si>
    <t>salát</t>
  </si>
  <si>
    <t>Chlebíček pažitkový</t>
  </si>
  <si>
    <t>pažitka</t>
  </si>
  <si>
    <t>Chlebíček ředkvičkový</t>
  </si>
  <si>
    <t>ředkvičky</t>
  </si>
  <si>
    <t>Chlebíček řepový</t>
  </si>
  <si>
    <t>řepa předvařená</t>
  </si>
  <si>
    <t>Chlebíček s parmskou šunkou</t>
  </si>
  <si>
    <t>jarní cibulka</t>
  </si>
  <si>
    <t>Chlebíček s řízkem</t>
  </si>
  <si>
    <t>bramborový salát</t>
  </si>
  <si>
    <t>Chlebíček sýrový</t>
  </si>
  <si>
    <t>Chlebíček šunka sýr</t>
  </si>
  <si>
    <t>Chlebíček tuňákový</t>
  </si>
  <si>
    <t>tuňáková pomazánka</t>
  </si>
  <si>
    <t>Chorizo tapas</t>
  </si>
  <si>
    <t>Jablečný dezert</t>
  </si>
  <si>
    <t>CukrárnaAkce</t>
  </si>
  <si>
    <t>mascarpone</t>
  </si>
  <si>
    <t>jablečná povidla</t>
  </si>
  <si>
    <t>skořice</t>
  </si>
  <si>
    <t>Jahodová tartaletka</t>
  </si>
  <si>
    <t>mascarpone krém</t>
  </si>
  <si>
    <t>sušené jahody</t>
  </si>
  <si>
    <t>Jalapenos kozí sýr a slanina</t>
  </si>
  <si>
    <t>zelená jalapenos - čerstvá</t>
  </si>
  <si>
    <t>Jalapenos kozí sýr a sušená rajčata</t>
  </si>
  <si>
    <t>červená jalapenos - čerstvá</t>
  </si>
  <si>
    <t>Kanapka balkán</t>
  </si>
  <si>
    <t>listové těsto</t>
  </si>
  <si>
    <t>černé olivy</t>
  </si>
  <si>
    <t>Kanapka Chorizo</t>
  </si>
  <si>
    <t>olivy</t>
  </si>
  <si>
    <t>Kanapka lososová</t>
  </si>
  <si>
    <t>Kanapka niva&amp;hruška</t>
  </si>
  <si>
    <t>hruška</t>
  </si>
  <si>
    <t>sušené brusinky</t>
  </si>
  <si>
    <t>Kanapka s brie</t>
  </si>
  <si>
    <t>Kanapka s krevetkou</t>
  </si>
  <si>
    <t>krevety</t>
  </si>
  <si>
    <t>Kanapka s křepelčím vajíčkem</t>
  </si>
  <si>
    <t>křepelčí vejce</t>
  </si>
  <si>
    <t>Kanapka s parmskou šunkou</t>
  </si>
  <si>
    <t>Kokosová panacotta</t>
  </si>
  <si>
    <t>želatina</t>
  </si>
  <si>
    <t>Krabí chlebíček</t>
  </si>
  <si>
    <t>krabí tyčinky</t>
  </si>
  <si>
    <t>Krabí salát</t>
  </si>
  <si>
    <t>kukuřice</t>
  </si>
  <si>
    <t>Krájené pečivo 1000g</t>
  </si>
  <si>
    <t>Mísy a setyNádobí</t>
  </si>
  <si>
    <t>Kreveta na kari</t>
  </si>
  <si>
    <t>kari</t>
  </si>
  <si>
    <t>limetka</t>
  </si>
  <si>
    <t>zázvor</t>
  </si>
  <si>
    <t>Krevetka sweet chili</t>
  </si>
  <si>
    <t>sweet chilli omáčka</t>
  </si>
  <si>
    <t>chilli paprička</t>
  </si>
  <si>
    <t>Krevetová tartaletka</t>
  </si>
  <si>
    <t>tartaletka slaná</t>
  </si>
  <si>
    <t>Kuřecí mini řízečky s citrónem a kyselou okurkou chlazené (1000g)</t>
  </si>
  <si>
    <t>strouhanka</t>
  </si>
  <si>
    <t>mouka</t>
  </si>
  <si>
    <t>mléko</t>
  </si>
  <si>
    <t>Kuřecí špíz teryiaki</t>
  </si>
  <si>
    <t>teryiaki omacka</t>
  </si>
  <si>
    <t>Kuřecí tandoori špízek s mátovým dipem</t>
  </si>
  <si>
    <t>jogurt</t>
  </si>
  <si>
    <t>tandoori kořeni</t>
  </si>
  <si>
    <t>Losos teriaky</t>
  </si>
  <si>
    <t>losos čerstvý</t>
  </si>
  <si>
    <t>Lososový chlebíček</t>
  </si>
  <si>
    <t>Lotus dezert</t>
  </si>
  <si>
    <t>lotus sušenky</t>
  </si>
  <si>
    <t>borůvky</t>
  </si>
  <si>
    <t>kiwi</t>
  </si>
  <si>
    <t>Malinová tartaletka</t>
  </si>
  <si>
    <t>malinový krém</t>
  </si>
  <si>
    <t>sušené maliny</t>
  </si>
  <si>
    <t>Mascarpone s jahodou</t>
  </si>
  <si>
    <t>Máslový croassaint</t>
  </si>
  <si>
    <t>cukr moučka</t>
  </si>
  <si>
    <t>Matcha panacotta</t>
  </si>
  <si>
    <t>matcha</t>
  </si>
  <si>
    <t>Melounová mísa</t>
  </si>
  <si>
    <t>Mísy a setySaláty</t>
  </si>
  <si>
    <t>meloun vodní</t>
  </si>
  <si>
    <t>Melounová miska (90g)</t>
  </si>
  <si>
    <t>Mini bagetka caprese</t>
  </si>
  <si>
    <t>Mini bagetka niva&amp;jablko</t>
  </si>
  <si>
    <t>Mini bagetka roastbeef</t>
  </si>
  <si>
    <t>Mini bagetka ředkvičková</t>
  </si>
  <si>
    <t>Mini bagetka řízková</t>
  </si>
  <si>
    <t>Mini bagetka s brie</t>
  </si>
  <si>
    <t>Mini bagetka s kozím sýrem</t>
  </si>
  <si>
    <t>Mini bagetka s lososem</t>
  </si>
  <si>
    <t>Mini bagetka s trhaným hovězím</t>
  </si>
  <si>
    <t>Mini bagetka s trhaným kuřecím masem</t>
  </si>
  <si>
    <t>Mini bagetka s tuňákem</t>
  </si>
  <si>
    <t>Mini bagetka s vepřovým karé</t>
  </si>
  <si>
    <t>Mini bagetka salámová</t>
  </si>
  <si>
    <t>Mini bagetka se šunkou</t>
  </si>
  <si>
    <t>Mini bagetka sýrový mix</t>
  </si>
  <si>
    <t>Mini bagetka šunka sýr</t>
  </si>
  <si>
    <t>Mini bagetka vajíčková</t>
  </si>
  <si>
    <t>Mini burger hovězí</t>
  </si>
  <si>
    <t>Mini burger kuřecí</t>
  </si>
  <si>
    <t>Mini burger s brie</t>
  </si>
  <si>
    <t>Mini burger s grilovanou zeleninou</t>
  </si>
  <si>
    <t>Mini burger s kozím sýrem</t>
  </si>
  <si>
    <t>Mini burger s uzeným lososem</t>
  </si>
  <si>
    <t>Mini burger vepřový</t>
  </si>
  <si>
    <t>Mini ciabatta caprese</t>
  </si>
  <si>
    <t>Mini ciabatta roastbeef</t>
  </si>
  <si>
    <t>Mini ciabatta s grilovanou zeleninou</t>
  </si>
  <si>
    <t>Mini ciabatta s kuřecím masem</t>
  </si>
  <si>
    <t>Mini ciabatta s nivou a jablkem</t>
  </si>
  <si>
    <t>Mini ciabatta s uzeným lososem</t>
  </si>
  <si>
    <t>Mini ciabatta s vepřovým karé</t>
  </si>
  <si>
    <t>Mini ciabatta šunka sýr</t>
  </si>
  <si>
    <t>Mini ciabatta šunková</t>
  </si>
  <si>
    <t>mini croissant</t>
  </si>
  <si>
    <t>Mini croissant brie</t>
  </si>
  <si>
    <t>Mini croissant caprese</t>
  </si>
  <si>
    <t>mini mozzarella</t>
  </si>
  <si>
    <t>Mini croissant čokoládový</t>
  </si>
  <si>
    <t>Mini croissant jahodový</t>
  </si>
  <si>
    <t>Mini croissant karamelový</t>
  </si>
  <si>
    <t>Mini croissant kuřecí</t>
  </si>
  <si>
    <t>Mini croissant losos</t>
  </si>
  <si>
    <t>Mini croissant malina</t>
  </si>
  <si>
    <t>Mini croissant roastbeef</t>
  </si>
  <si>
    <t>Mini croissant s avokádem a vejcem</t>
  </si>
  <si>
    <t>Mini croissant s červenou řepou</t>
  </si>
  <si>
    <t>řepová pomazánka</t>
  </si>
  <si>
    <t>Mini croissant sýrový</t>
  </si>
  <si>
    <t>Mini croissant šunkový</t>
  </si>
  <si>
    <t>Mini croissant vanilkový</t>
  </si>
  <si>
    <t>vanilkový pudink</t>
  </si>
  <si>
    <t>Mini čokoládový cupcake</t>
  </si>
  <si>
    <t>mini cupcake</t>
  </si>
  <si>
    <t>Mini lívanečky s malinou(1ks)</t>
  </si>
  <si>
    <t>mini lívanečky</t>
  </si>
  <si>
    <t>Mini lívanečky s nutelou a banánem (1ks)</t>
  </si>
  <si>
    <t>Mini malinový cupcake</t>
  </si>
  <si>
    <t>Mini mozzarella s cherry rajčátkem a olivami</t>
  </si>
  <si>
    <t>Mini ovocný cupcake</t>
  </si>
  <si>
    <t>Mini sendvič s brie</t>
  </si>
  <si>
    <t>Mini sendvič s kozím sýrem</t>
  </si>
  <si>
    <t>Mini sendvič s nivou</t>
  </si>
  <si>
    <t>Mini sendvič s uzeným lososem</t>
  </si>
  <si>
    <t>Mini sendvič salámový</t>
  </si>
  <si>
    <t>Mini sendvič šunka/sýr</t>
  </si>
  <si>
    <t>Mini vanilkový cupcake</t>
  </si>
  <si>
    <t>Mísa s anglickým roastbeefem (1500g)</t>
  </si>
  <si>
    <t>kečup</t>
  </si>
  <si>
    <t>hořčice</t>
  </si>
  <si>
    <t>Mísa s anglickým roastbeefem (600g)</t>
  </si>
  <si>
    <t>Mísa s uzeným lososem a koprovým dresinkem</t>
  </si>
  <si>
    <t>Miska mix ovoce</t>
  </si>
  <si>
    <t>SalátyKanapky</t>
  </si>
  <si>
    <t>ananas</t>
  </si>
  <si>
    <t>Miska roastbeef</t>
  </si>
  <si>
    <t>Miska řízečková</t>
  </si>
  <si>
    <t>Miska salámová</t>
  </si>
  <si>
    <t xml:space="preserve">šunka dušená </t>
  </si>
  <si>
    <t>Miska sýrová</t>
  </si>
  <si>
    <t>sušené ovoce</t>
  </si>
  <si>
    <t>Míša</t>
  </si>
  <si>
    <t>BB sušenky tmavé</t>
  </si>
  <si>
    <t>čokolada</t>
  </si>
  <si>
    <t>Mix salátků popular 11ks</t>
  </si>
  <si>
    <t>Mix salátků vegan 11ks</t>
  </si>
  <si>
    <t>Musli banán a jablko</t>
  </si>
  <si>
    <t>ovocné musli</t>
  </si>
  <si>
    <t>jahodové pyré</t>
  </si>
  <si>
    <t>Musli lesní ovoce</t>
  </si>
  <si>
    <t>čokoladové musli</t>
  </si>
  <si>
    <t>Nespresso kávový set</t>
  </si>
  <si>
    <t>Nivové tapas</t>
  </si>
  <si>
    <t>hroznové víno</t>
  </si>
  <si>
    <t>Okurkový salát</t>
  </si>
  <si>
    <t>Olivové tapas</t>
  </si>
  <si>
    <t>olivy zelené</t>
  </si>
  <si>
    <t>Ovocná mísa (1000g)</t>
  </si>
  <si>
    <t>hroznové víno červené</t>
  </si>
  <si>
    <t>hroznové víno bilé</t>
  </si>
  <si>
    <t>Ovocná mísa (2000g)</t>
  </si>
  <si>
    <t>Panacotta mix 11 ks</t>
  </si>
  <si>
    <t>CukrárnaMísy a sety</t>
  </si>
  <si>
    <t>Parma a meloun tapas</t>
  </si>
  <si>
    <t>Pažitkové tapas</t>
  </si>
  <si>
    <t>Pečené papriky tapas</t>
  </si>
  <si>
    <t>Pesto a mandle tapas</t>
  </si>
  <si>
    <t>Petite sweet box 24ks</t>
  </si>
  <si>
    <t>Pfanner jablko 0,2l</t>
  </si>
  <si>
    <t>Pfanner pomeranč 0,2l</t>
  </si>
  <si>
    <t>Pistáciová panacotta</t>
  </si>
  <si>
    <t>pistaciová pasta</t>
  </si>
  <si>
    <t>jahody mražené</t>
  </si>
  <si>
    <t>Pokebowl - krab &amp; mrkev</t>
  </si>
  <si>
    <t>suši ryže</t>
  </si>
  <si>
    <t>rýžový ocet</t>
  </si>
  <si>
    <t>Pokebowl - kreveta &amp; avokáda</t>
  </si>
  <si>
    <t>mango</t>
  </si>
  <si>
    <t>Pokebowl - krevety &amp; mango</t>
  </si>
  <si>
    <t>Pokebowl - Kuře &amp; mandle</t>
  </si>
  <si>
    <t>sriracha omáčka</t>
  </si>
  <si>
    <t>Pokebowl - pečený losos &amp; mango</t>
  </si>
  <si>
    <t>fazole fava</t>
  </si>
  <si>
    <t>Pokebowl - tuňák &amp; fazole</t>
  </si>
  <si>
    <t>tuňák konzerva</t>
  </si>
  <si>
    <t>Pokebowl - tuňák steak</t>
  </si>
  <si>
    <t>tuňák čerstvý</t>
  </si>
  <si>
    <t>dajkon</t>
  </si>
  <si>
    <t>Pokebowl - uhoř &amp; avokádo</t>
  </si>
  <si>
    <t>úhoř</t>
  </si>
  <si>
    <t>Pokebowl - uzený losos &amp; avokádo</t>
  </si>
  <si>
    <t>wakame řasy</t>
  </si>
  <si>
    <t>nori</t>
  </si>
  <si>
    <t>Rajčatový chlebíček</t>
  </si>
  <si>
    <t>Rajčatový salát s červenou cibulí a ořechy</t>
  </si>
  <si>
    <t>Rajčatový salátek (80g)</t>
  </si>
  <si>
    <t>Red bull plech 0,25l</t>
  </si>
  <si>
    <t>Relax juice multivitamin 0,25l</t>
  </si>
  <si>
    <t>Relax juice pomeranč 0,25l</t>
  </si>
  <si>
    <t>Roastbeef chlebíček</t>
  </si>
  <si>
    <t>křen</t>
  </si>
  <si>
    <t>Roastbeef kanapka se sušeným rajčetem a hrubozrnnou hořčicí</t>
  </si>
  <si>
    <t>hrubozrná hořčice</t>
  </si>
  <si>
    <t>Roastbeef tapas</t>
  </si>
  <si>
    <t>Řecký salát s nakládaným balkánským sýrem (80g)</t>
  </si>
  <si>
    <t>olej</t>
  </si>
  <si>
    <t>Řecký salát s olivami a feta sýrem</t>
  </si>
  <si>
    <t>Řepa s kapari tapas</t>
  </si>
  <si>
    <t>kapary</t>
  </si>
  <si>
    <t>Salámový chlebíček</t>
  </si>
  <si>
    <t>Salát coleslaw (80g)</t>
  </si>
  <si>
    <t>Salátek caprese (80g)</t>
  </si>
  <si>
    <t>Salátek hummus</t>
  </si>
  <si>
    <t>červená paprika sladká - koření</t>
  </si>
  <si>
    <t>Set bagetek masový mix</t>
  </si>
  <si>
    <t>Mísy a setyBagety &amp;amp; Sandwiche</t>
  </si>
  <si>
    <t>Set bagetek vegetarian</t>
  </si>
  <si>
    <t>Set bezlepkových bagetek mix 12 ks</t>
  </si>
  <si>
    <t>Set bezlepkových bagetek vegetarian 12 ks</t>
  </si>
  <si>
    <t>Set burgerů masový 15 ks</t>
  </si>
  <si>
    <t>Mísy a setyBurgery</t>
  </si>
  <si>
    <t>Set burgerů šunka-sýr</t>
  </si>
  <si>
    <t>Set burgerů vegetariánský 15 ks</t>
  </si>
  <si>
    <t>Set canneloni 33ks</t>
  </si>
  <si>
    <t>Set ciabatty Masový 12 ks</t>
  </si>
  <si>
    <t>Set ciabatty vegetariánské 12 ks</t>
  </si>
  <si>
    <t>Set croissantů mix</t>
  </si>
  <si>
    <t>Set českých dezertů 11 ks</t>
  </si>
  <si>
    <t>CukrárnaMísy a setyAkce</t>
  </si>
  <si>
    <t>Set kanapek masový listové těsto</t>
  </si>
  <si>
    <t>Set kanapek vegetariánský na listové těstě</t>
  </si>
  <si>
    <t>Set krémových tartaletek</t>
  </si>
  <si>
    <t>Set mini baget vegetarianský</t>
  </si>
  <si>
    <t>Set mini bagetek masový mix</t>
  </si>
  <si>
    <t>Set mini bagetek mix</t>
  </si>
  <si>
    <t>Set mini bagetek mix mas</t>
  </si>
  <si>
    <t>Set mini burgerů 18 ks</t>
  </si>
  <si>
    <t>Set mini burgerů vegetariánský 18 ks</t>
  </si>
  <si>
    <t>Set mini croissantů - losos, brie, avokádo</t>
  </si>
  <si>
    <t>Set mini croissantů 18 ks</t>
  </si>
  <si>
    <t>Set mini croissantů masový</t>
  </si>
  <si>
    <t>Set mini croissantů sladký - vanilka, čoko, karamel</t>
  </si>
  <si>
    <t>Set mini croissantů vegetariánský</t>
  </si>
  <si>
    <t>Set mini cupcakes 24 ks</t>
  </si>
  <si>
    <t>Set mini lívanečků 24 ks</t>
  </si>
  <si>
    <t>Set mini sendvičů - niva, salámový, lososový</t>
  </si>
  <si>
    <t>Set mini sendvičů mix - kozí sýr, brie, šunka-sýr</t>
  </si>
  <si>
    <t>Set Onigiri - rybí mix</t>
  </si>
  <si>
    <t>Sushi</t>
  </si>
  <si>
    <t>philadelphia</t>
  </si>
  <si>
    <t>sojová omáčka</t>
  </si>
  <si>
    <t>zázvor nakládaný</t>
  </si>
  <si>
    <t>Set Onigiri - vege</t>
  </si>
  <si>
    <t>Set plněných bagetek - exkluzivní 9 ks</t>
  </si>
  <si>
    <t>Set Pokebowl 1 - kuře, uhoř, tuňák</t>
  </si>
  <si>
    <t>Set Pokebowl 2 - tuňák, krab, losos</t>
  </si>
  <si>
    <t>Set Pokebowl 3 - kreveta, losos, kreveta</t>
  </si>
  <si>
    <t>Set salátků fresh 11ks</t>
  </si>
  <si>
    <t>Set salátků klasik (11x70g)</t>
  </si>
  <si>
    <t>Set salátků mix (11x70g)</t>
  </si>
  <si>
    <t>Set salátků vegetarian (11x70g)</t>
  </si>
  <si>
    <t>Set sushi N4 - vegetarianské</t>
  </si>
  <si>
    <t>5ks</t>
  </si>
  <si>
    <t>hůlky</t>
  </si>
  <si>
    <t>Set sushi N5 - Maki</t>
  </si>
  <si>
    <t>Set štrúdlů mix</t>
  </si>
  <si>
    <t>Set tapas masový</t>
  </si>
  <si>
    <t>Set tartaletek - krabí, salám, hrášek, houba</t>
  </si>
  <si>
    <t>Set tartaletek - losos, pažitka, vajíčko, parma</t>
  </si>
  <si>
    <t>Set tartaletek 24 ks</t>
  </si>
  <si>
    <t>Set tartaletek curd 24ks</t>
  </si>
  <si>
    <t>Set tartaletek premium 24ks</t>
  </si>
  <si>
    <t>Set velkých croissantů masový</t>
  </si>
  <si>
    <t>Set velkých croissantů sladký 9ks</t>
  </si>
  <si>
    <t>Set velkých croissantů vegetarianský</t>
  </si>
  <si>
    <t>Set waflí 20 ks</t>
  </si>
  <si>
    <t>Skyramisu</t>
  </si>
  <si>
    <t>piškoty</t>
  </si>
  <si>
    <t>kafe</t>
  </si>
  <si>
    <t>smetana zakysaná</t>
  </si>
  <si>
    <t>kakao</t>
  </si>
  <si>
    <t>Slaná kanapka vajičková</t>
  </si>
  <si>
    <t>sušené květy</t>
  </si>
  <si>
    <t>barvivo žluté</t>
  </si>
  <si>
    <t>Slaná tartaleka wakame losos</t>
  </si>
  <si>
    <t>Slaná tartaletka hráškové pyré</t>
  </si>
  <si>
    <t>Slaná tartaletka krabí</t>
  </si>
  <si>
    <t>Slaná tartaletka parma</t>
  </si>
  <si>
    <t>Slaná tartaletka pažitka</t>
  </si>
  <si>
    <t>Slaná tartaletka salámová</t>
  </si>
  <si>
    <t>Slaná tartaletka žampionová</t>
  </si>
  <si>
    <t>žampiony</t>
  </si>
  <si>
    <t>Sleď s řepou</t>
  </si>
  <si>
    <t>sled´</t>
  </si>
  <si>
    <t>Sushi set Maki mix 90 ks</t>
  </si>
  <si>
    <t>15ks</t>
  </si>
  <si>
    <t>shitake</t>
  </si>
  <si>
    <t>Sushi set Maki vege 90 ks</t>
  </si>
  <si>
    <t>Sushi set N1</t>
  </si>
  <si>
    <t>Sushi set N2</t>
  </si>
  <si>
    <t>Sushi set N3</t>
  </si>
  <si>
    <t>9ks</t>
  </si>
  <si>
    <t>Sushi set N6</t>
  </si>
  <si>
    <t>Sušená rajčata a kozí sýr tapas</t>
  </si>
  <si>
    <t>Sweet box 11 ks</t>
  </si>
  <si>
    <t>Sweet breakfast box (12x130g)</t>
  </si>
  <si>
    <t>Sýrový chlebíček</t>
  </si>
  <si>
    <t>Špalíček z vepřové panenky v růžovém pepři se švestkou v koňaku</t>
  </si>
  <si>
    <t>švestková omáčka</t>
  </si>
  <si>
    <t>vepřová panenka</t>
  </si>
  <si>
    <t>Štrúdl hruškový</t>
  </si>
  <si>
    <t>Štrúdl jablečný</t>
  </si>
  <si>
    <t>rozinky</t>
  </si>
  <si>
    <t>Štrúdl švestka - mák</t>
  </si>
  <si>
    <t>švestky mražené</t>
  </si>
  <si>
    <t>mák</t>
  </si>
  <si>
    <t>Šunkové tapas</t>
  </si>
  <si>
    <t>Šunkový chlebíček</t>
  </si>
  <si>
    <t>Švestka ve slanině s dýní</t>
  </si>
  <si>
    <t>Talířek</t>
  </si>
  <si>
    <t>Nádobí</t>
  </si>
  <si>
    <t>Tapas mix 11 ks</t>
  </si>
  <si>
    <t>Tartaletka brie</t>
  </si>
  <si>
    <t>Tartaletka čokoládový krém</t>
  </si>
  <si>
    <t>Tartaletka grep curd</t>
  </si>
  <si>
    <t>grep curd</t>
  </si>
  <si>
    <t>Tartaletka karamelová</t>
  </si>
  <si>
    <t>Tartaletka limet curd</t>
  </si>
  <si>
    <t>limet curd</t>
  </si>
  <si>
    <t>sušené květy růže</t>
  </si>
  <si>
    <t>Tartaletka orange curd</t>
  </si>
  <si>
    <t>orange curd</t>
  </si>
  <si>
    <t>Tartaletka s bánánem</t>
  </si>
  <si>
    <t>Tartaletka s borůvkymi</t>
  </si>
  <si>
    <t>Tartaletka s lemon curd</t>
  </si>
  <si>
    <t>lemon curd</t>
  </si>
  <si>
    <t>Tartaletka s paštikou</t>
  </si>
  <si>
    <t>Tartaletka s roastbeefem</t>
  </si>
  <si>
    <t>Tartaletka vanilková</t>
  </si>
  <si>
    <t>Tatarák z uzeného lososa s avokádem</t>
  </si>
  <si>
    <t>Tortilla caprese</t>
  </si>
  <si>
    <t>tortilla</t>
  </si>
  <si>
    <t>Tortilla chorizo</t>
  </si>
  <si>
    <t>Tortilla kuřecí</t>
  </si>
  <si>
    <t>Tortilla lososová</t>
  </si>
  <si>
    <t>Tortilla s kozím sýrem</t>
  </si>
  <si>
    <t>Tortilla sýrová</t>
  </si>
  <si>
    <t>Tortilla šunka sýr</t>
  </si>
  <si>
    <t>Tuňák v sezamu</t>
  </si>
  <si>
    <t>Tuňákové tapas</t>
  </si>
  <si>
    <t>Ubrousky 50 ks</t>
  </si>
  <si>
    <t>Uzený losos na hráškovém pyré</t>
  </si>
  <si>
    <t>Uzený losos na koprovém créme fraîche</t>
  </si>
  <si>
    <t>Vajíčkový chlebíček</t>
  </si>
  <si>
    <t>Vanilková panacotta</t>
  </si>
  <si>
    <t>vanilka</t>
  </si>
  <si>
    <t>Vanilkový pudink s ovocem</t>
  </si>
  <si>
    <t>drobné ovoce</t>
  </si>
  <si>
    <t>Variace českých a zahraničních sýrů (600g)</t>
  </si>
  <si>
    <t>blaťácké zlato ořechové</t>
  </si>
  <si>
    <t>uzený sýr</t>
  </si>
  <si>
    <t>blaťácké zlato</t>
  </si>
  <si>
    <t>Vidlička dřevěná</t>
  </si>
  <si>
    <t>Vita salátek</t>
  </si>
  <si>
    <t>Voda s mátou a citronem 0,5l</t>
  </si>
  <si>
    <t>Wafle s nutellou a banánem</t>
  </si>
  <si>
    <t>wafle</t>
  </si>
  <si>
    <t>Wafle s tvarohem a borůvkou</t>
  </si>
  <si>
    <t>Wafle s tvarohem a jahodou</t>
  </si>
  <si>
    <t>Wafle s tvarohem a malinami</t>
  </si>
  <si>
    <t>Waldorfský salát (1000g)</t>
  </si>
  <si>
    <t>řapíkatý celer</t>
  </si>
  <si>
    <t>Waldorfský salátek (80g)</t>
  </si>
  <si>
    <t>XXL mísa delikates</t>
  </si>
  <si>
    <t>XXL mísa kuřecí mini řízečky chlazené</t>
  </si>
  <si>
    <t>XXL mísa s vepřovým karé</t>
  </si>
  <si>
    <t>XXL sýrová mísa</t>
  </si>
  <si>
    <t>brie</t>
  </si>
  <si>
    <t>mix ovoce</t>
  </si>
  <si>
    <t>Zeleninová mísa s bylinkovým dipem (1500 g)</t>
  </si>
  <si>
    <t>bílá ředkev</t>
  </si>
  <si>
    <t>Zeleninové crudité s bylinkovým dipem</t>
  </si>
  <si>
    <t>Žampiony se slaninou</t>
  </si>
  <si>
    <t>bábovky</t>
  </si>
  <si>
    <t>Mini muffin</t>
  </si>
  <si>
    <t>Mini croissant borůvka</t>
  </si>
  <si>
    <t>Zdravý chléb - šunkový</t>
  </si>
  <si>
    <t>McKinsey</t>
  </si>
  <si>
    <t>zdravý chléb</t>
  </si>
  <si>
    <t>Zdravý chléb - roastbeef</t>
  </si>
  <si>
    <t>Zdravý chléb - sýrový</t>
  </si>
  <si>
    <t>Zdravý chléb - vajíčkový</t>
  </si>
  <si>
    <t>McKinsey slanina</t>
  </si>
  <si>
    <t>McKinsey vejce</t>
  </si>
  <si>
    <t>McKinsey klobásky</t>
  </si>
  <si>
    <t>klobásky Mckinsey</t>
  </si>
  <si>
    <t>Vepřová panenka s červenou řepou</t>
  </si>
  <si>
    <t>Babiččina bábovka - mramorová</t>
  </si>
  <si>
    <t>mouka polohrubá</t>
  </si>
  <si>
    <t>prášek do pečova</t>
  </si>
  <si>
    <t>Babiččina bábovka</t>
  </si>
  <si>
    <t>Babiččina bábovka - tvarohovo- citronová</t>
  </si>
  <si>
    <t>sůl</t>
  </si>
  <si>
    <t>Mini lívanečky s tvarohem a borůvkami (1ks)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</si>
</sst>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charset val="238"/>
      <scheme val="minor"/>
    </font>
    <font>
      <sz val="10"/>
      <color rgb="FF00000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3E3E3D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textRotation="90" wrapText="1"/>
    </xf>
    <xf numFmtId="0" fontId="1" fillId="0" borderId="1" xfId="0" applyFont="1" applyBorder="1" applyAlignment="1">
      <alignment horizontal="center" textRotation="90" wrapText="1"/>
    </xf>
    <xf numFmtId="2" fontId="1" fillId="0" borderId="1" xfId="0" applyNumberFormat="1" applyFont="1" applyBorder="1" applyAlignment="1">
      <alignment textRotation="90" wrapText="1"/>
    </xf>
    <xf numFmtId="0" fontId="0" fillId="0" borderId="1" xfId="0" applyBorder="1"/>
    <xf numFmtId="0" fontId="1" fillId="0" borderId="2" xfId="0" applyFont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2" fontId="1" fillId="2" borderId="2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/>
    <xf numFmtId="0" fontId="1" fillId="0" borderId="0" xfId="0" applyFont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2" fontId="1" fillId="2" borderId="3" xfId="0" applyNumberFormat="1" applyFont="1" applyFill="1" applyBorder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/>
    <xf numFmtId="0" fontId="0" fillId="0" borderId="3" xfId="0" applyBorder="1"/>
    <xf numFmtId="2" fontId="0" fillId="0" borderId="3" xfId="0" applyNumberFormat="1" applyBorder="1"/>
    <xf numFmtId="1" fontId="1" fillId="2" borderId="3" xfId="0" applyNumberFormat="1" applyFont="1" applyFill="1" applyBorder="1"/>
    <xf numFmtId="0" fontId="1" fillId="2" borderId="1" xfId="0" applyFont="1" applyFill="1" applyBorder="1" applyAlignment="1">
      <alignment wrapText="1"/>
    </xf>
    <xf numFmtId="0" fontId="1" fillId="2" borderId="0" xfId="0" applyFont="1" applyFill="1"/>
    <xf numFmtId="0" fontId="1" fillId="0" borderId="3" xfId="0" applyFont="1" applyBorder="1" applyAlignment="1">
      <alignment horizontal="center" wrapText="1"/>
    </xf>
    <xf numFmtId="2" fontId="1" fillId="0" borderId="3" xfId="0" applyNumberFormat="1" applyFont="1" applyBorder="1" applyAlignment="1">
      <alignment wrapText="1"/>
    </xf>
    <xf numFmtId="0" fontId="1" fillId="2" borderId="0" xfId="0" applyFont="1" applyFill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/>
    <xf numFmtId="0" fontId="1" fillId="2" borderId="2" xfId="0" applyFont="1" applyFill="1" applyBorder="1" applyAlignment="1">
      <alignment horizontal="center" wrapText="1"/>
    </xf>
    <xf numFmtId="2" fontId="1" fillId="2" borderId="2" xfId="0" applyNumberFormat="1" applyFont="1" applyFill="1" applyBorder="1" applyAlignment="1">
      <alignment wrapText="1"/>
    </xf>
    <xf numFmtId="0" fontId="0" fillId="0" borderId="2" xfId="0" applyBorder="1"/>
    <xf numFmtId="0" fontId="1" fillId="2" borderId="3" xfId="0" applyFont="1" applyFill="1" applyBorder="1" applyAlignment="1">
      <alignment horizontal="center" wrapText="1"/>
    </xf>
    <xf numFmtId="2" fontId="1" fillId="2" borderId="3" xfId="0" applyNumberFormat="1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2" fontId="0" fillId="2" borderId="1" xfId="0" applyNumberFormat="1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center" wrapText="1"/>
    </xf>
    <xf numFmtId="2" fontId="0" fillId="2" borderId="2" xfId="0" applyNumberForma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0" xfId="0" applyFont="1"/>
    <xf numFmtId="0" fontId="0" fillId="2" borderId="3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2" xfId="0" applyFill="1" applyBorder="1"/>
    <xf numFmtId="0" fontId="1" fillId="0" borderId="2" xfId="0" applyFont="1" applyBorder="1" applyAlignment="1">
      <alignment horizontal="center" wrapText="1"/>
    </xf>
    <xf numFmtId="2" fontId="1" fillId="0" borderId="2" xfId="0" applyNumberFormat="1" applyFont="1" applyBorder="1" applyAlignment="1">
      <alignment wrapText="1"/>
    </xf>
    <xf numFmtId="0" fontId="0" fillId="2" borderId="1" xfId="0" applyFill="1" applyBorder="1"/>
    <xf numFmtId="0" fontId="1" fillId="3" borderId="3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0" xfId="0" applyFont="1" applyFill="1"/>
    <xf numFmtId="0" fontId="3" fillId="0" borderId="0" xfId="0" applyFont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right" wrapText="1"/>
    </xf>
    <xf numFmtId="2" fontId="4" fillId="2" borderId="1" xfId="0" applyNumberFormat="1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wrapText="1"/>
    </xf>
    <xf numFmtId="0" fontId="1" fillId="4" borderId="2" xfId="0" applyFont="1" applyFill="1" applyBorder="1" applyAlignment="1">
      <alignment wrapText="1"/>
    </xf>
    <xf numFmtId="1" fontId="1" fillId="0" borderId="3" xfId="0" applyNumberFormat="1" applyFont="1" applyBorder="1"/>
    <xf numFmtId="1" fontId="1" fillId="0" borderId="1" xfId="0" applyNumberFormat="1" applyFont="1" applyBorder="1"/>
    <xf numFmtId="1" fontId="1" fillId="0" borderId="2" xfId="0" applyNumberFormat="1" applyFont="1" applyBorder="1"/>
    <xf numFmtId="0" fontId="1" fillId="0" borderId="4" xfId="0" applyFont="1" applyBorder="1"/>
    <xf numFmtId="0" fontId="1" fillId="3" borderId="1" xfId="0" applyFont="1" applyFill="1" applyBorder="1" applyAlignment="1">
      <alignment wrapText="1"/>
    </xf>
    <xf numFmtId="2" fontId="0" fillId="0" borderId="1" xfId="0" applyNumberFormat="1" applyBorder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2" borderId="0" xfId="0" applyFill="1"/>
    <xf numFmtId="1" fontId="1" fillId="2" borderId="1" xfId="0" applyNumberFormat="1" applyFont="1" applyFill="1" applyBorder="1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/>
    <xf numFmtId="1" fontId="1" fillId="2" borderId="0" xfId="0" applyNumberFormat="1" applyFont="1" applyFill="1"/>
    <xf numFmtId="2" fontId="1" fillId="2" borderId="0" xfId="0" applyNumberFormat="1" applyFont="1" applyFill="1" applyAlignment="1">
      <alignment wrapText="1"/>
    </xf>
    <xf numFmtId="2" fontId="1" fillId="0" borderId="0" xfId="0" applyNumberFormat="1" applyFont="1"/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wrapText="1"/>
    </xf>
    <xf numFmtId="0" fontId="2" fillId="0" borderId="3" xfId="0" applyFont="1" applyBorder="1"/>
    <xf numFmtId="2" fontId="1" fillId="2" borderId="1" xfId="0" applyNumberFormat="1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5" fillId="2" borderId="3" xfId="0" applyFont="1" applyFill="1" applyBorder="1"/>
    <xf numFmtId="0" fontId="1" fillId="5" borderId="3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wrapText="1"/>
    </xf>
    <xf numFmtId="0" fontId="6" fillId="0" borderId="1" xfId="0" applyFont="1" applyBorder="1"/>
    <xf numFmtId="0" fontId="1" fillId="0" borderId="5" xfId="0" applyFont="1" applyBorder="1"/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/>
    </xf>
    <xf numFmtId="2" fontId="1" fillId="0" borderId="5" xfId="0" applyNumberFormat="1" applyFont="1" applyBorder="1"/>
    <xf numFmtId="0" fontId="1" fillId="3" borderId="2" xfId="0" applyFont="1" applyFill="1" applyBorder="1" applyAlignment="1">
      <alignment wrapText="1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/>
    <xf numFmtId="0" fontId="1" fillId="4" borderId="1" xfId="0" applyFont="1" applyFill="1" applyBorder="1" applyAlignment="1">
      <alignment horizontal="center"/>
    </xf>
    <xf numFmtId="0" fontId="0" fillId="4" borderId="1" xfId="0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c63d6fe77ee4271/Plocha/pt%20excely/PartyTalir_Excel2_AppTemplate_novy%20(version%201).xlsm" TargetMode="External"/><Relationship Id="rId1" Type="http://schemas.openxmlformats.org/officeDocument/2006/relationships/externalLinkPath" Target="/ac63d6fe77ee4271/Plocha/pt%20excely/PartyTalir_Excel2_AppTemplate_novy%20(version%20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_PDF_RAW"/>
      <sheetName val="APP_SHOPPING"/>
      <sheetName val="APP_PRIJEM"/>
      <sheetName val="APP_VYDEJ"/>
      <sheetName val="APP_ODPISY"/>
      <sheetName val="APP_NAKUP"/>
      <sheetName val="final_suroviny"/>
      <sheetName val="APP_ROZPAD"/>
      <sheetName val="Mc kinsey"/>
      <sheetName val="export"/>
      <sheetName val="upravy_jedinecnost"/>
      <sheetName val="List2"/>
      <sheetName val="sety"/>
      <sheetName val="kombinované suroviny"/>
      <sheetName val="pomocný list"/>
      <sheetName val="APP_INVENTURA"/>
      <sheetName val="APP_PDF_ITEMS"/>
      <sheetName val="APP_PRODUCTS_NEED"/>
      <sheetName val="APP_PDF_RAW_OBALY"/>
      <sheetName val="APP_OBALY_VYST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">
          <cell r="B16"/>
          <cell r="D16"/>
          <cell r="F16"/>
          <cell r="H16"/>
          <cell r="J16"/>
          <cell r="L16"/>
          <cell r="N16"/>
          <cell r="P16"/>
          <cell r="R16"/>
          <cell r="T16"/>
        </row>
        <row r="17">
          <cell r="B17"/>
          <cell r="D17"/>
          <cell r="F17"/>
          <cell r="H17"/>
          <cell r="J17"/>
          <cell r="L17"/>
          <cell r="N17"/>
          <cell r="P17"/>
          <cell r="R17"/>
          <cell r="T17"/>
        </row>
        <row r="18">
          <cell r="B18"/>
          <cell r="D18"/>
          <cell r="F18"/>
          <cell r="H18"/>
          <cell r="J18"/>
          <cell r="L18"/>
          <cell r="N18"/>
          <cell r="P18"/>
          <cell r="R18"/>
          <cell r="T18"/>
        </row>
        <row r="19">
          <cell r="B19"/>
          <cell r="D19"/>
          <cell r="F19"/>
          <cell r="H19"/>
          <cell r="J19"/>
          <cell r="L19"/>
          <cell r="N19"/>
          <cell r="P19"/>
          <cell r="R19"/>
          <cell r="T19"/>
        </row>
        <row r="20">
          <cell r="B20"/>
          <cell r="D20"/>
          <cell r="F20"/>
          <cell r="H20"/>
          <cell r="J20"/>
          <cell r="L20"/>
          <cell r="N20"/>
          <cell r="P20"/>
          <cell r="R20"/>
          <cell r="T20"/>
        </row>
        <row r="21">
          <cell r="B21"/>
          <cell r="D21"/>
          <cell r="F21"/>
          <cell r="H21"/>
          <cell r="J21"/>
          <cell r="L21"/>
          <cell r="N21"/>
          <cell r="P21"/>
          <cell r="R21"/>
          <cell r="T21"/>
        </row>
        <row r="22">
          <cell r="B22"/>
          <cell r="D22"/>
          <cell r="F22"/>
          <cell r="H22"/>
          <cell r="J22"/>
          <cell r="L22"/>
          <cell r="N22"/>
          <cell r="P22"/>
          <cell r="R22"/>
          <cell r="T22"/>
        </row>
        <row r="23">
          <cell r="B23"/>
          <cell r="D23"/>
          <cell r="F23"/>
          <cell r="H23"/>
          <cell r="J23"/>
          <cell r="L23"/>
          <cell r="N23"/>
          <cell r="P23"/>
          <cell r="R23"/>
          <cell r="T23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904A6-E287-449E-B465-E7E84A3A7D75}">
  <sheetPr codeName="List5">
    <tabColor rgb="FFFF0000"/>
    <outlinePr summaryBelow="0" summaryRight="0"/>
  </sheetPr>
  <dimension ref="A1:BC570"/>
  <sheetViews>
    <sheetView tabSelected="1" workbookViewId="0">
      <pane xSplit="2" ySplit="1" topLeftCell="I301" activePane="bottomRight" state="frozen"/>
      <selection activeCell="L15" sqref="L15"/>
      <selection pane="topRight" activeCell="L15" sqref="L15"/>
      <selection pane="bottomLeft" activeCell="L15" sqref="L15"/>
      <selection pane="bottomRight" activeCell="S309" sqref="S309"/>
    </sheetView>
  </sheetViews>
  <sheetFormatPr defaultColWidth="13.5" defaultRowHeight="15.75" customHeight="1" x14ac:dyDescent="0.4"/>
  <cols>
    <col min="1" max="1" width="13.5" style="5" customWidth="1"/>
    <col min="2" max="2" width="40.640625" style="5" bestFit="1" customWidth="1"/>
    <col min="3" max="3" width="22.78515625" style="5" customWidth="1"/>
    <col min="4" max="4" width="13.35546875" style="5" customWidth="1"/>
    <col min="5" max="5" width="8.0703125" style="5" customWidth="1"/>
    <col min="6" max="6" width="7.2109375" style="5" customWidth="1"/>
    <col min="7" max="7" width="5.5" style="5" customWidth="1"/>
    <col min="8" max="8" width="16.640625" style="5" customWidth="1"/>
    <col min="9" max="9" width="5.0703125" style="72" customWidth="1"/>
    <col min="10" max="10" width="13.640625" style="5" customWidth="1"/>
    <col min="11" max="11" width="8.28515625" style="5" customWidth="1"/>
    <col min="12" max="12" width="24.28515625" style="5" customWidth="1"/>
    <col min="13" max="13" width="13.35546875" style="5" customWidth="1"/>
    <col min="14" max="14" width="12.7109375" style="5" customWidth="1"/>
    <col min="15" max="17" width="11.78515625" style="5" customWidth="1"/>
    <col min="18" max="18" width="13.78515625" style="5" customWidth="1"/>
    <col min="19" max="19" width="11.78515625" style="5" customWidth="1"/>
    <col min="20" max="20" width="14.42578125" style="5" customWidth="1"/>
    <col min="21" max="29" width="11.78515625" style="5" customWidth="1"/>
    <col min="30" max="30" width="14.85546875" style="5" customWidth="1"/>
    <col min="31" max="35" width="11.78515625" style="5" customWidth="1"/>
    <col min="36" max="36" width="14.5703125" style="5" customWidth="1"/>
    <col min="37" max="47" width="11.78515625" style="5" customWidth="1"/>
    <col min="48" max="48" width="12" style="5" bestFit="1" customWidth="1"/>
    <col min="49" max="55" width="11.78515625" style="5" customWidth="1"/>
    <col min="56" max="56" width="13.5" style="5" customWidth="1"/>
    <col min="57" max="16384" width="13.5" style="5"/>
  </cols>
  <sheetData>
    <row r="1" spans="1:55" ht="52.5" customHeight="1" x14ac:dyDescent="0.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/>
      <c r="AX1" s="2"/>
      <c r="AY1" s="2"/>
      <c r="AZ1" s="2"/>
      <c r="BA1" s="2"/>
      <c r="BB1" s="2"/>
      <c r="BC1" s="2"/>
    </row>
    <row r="2" spans="1:55" ht="25.5" customHeight="1" x14ac:dyDescent="0.4">
      <c r="A2" s="6">
        <v>820</v>
      </c>
      <c r="B2" s="7" t="s">
        <v>48</v>
      </c>
      <c r="C2" s="7" t="s">
        <v>49</v>
      </c>
      <c r="D2" s="8">
        <f>K2+M2+O2+Q2+5</f>
        <v>32</v>
      </c>
      <c r="E2" s="9">
        <v>1</v>
      </c>
      <c r="F2" s="9" t="s">
        <v>50</v>
      </c>
      <c r="G2" s="8">
        <v>24</v>
      </c>
      <c r="H2" s="7" t="s">
        <v>51</v>
      </c>
      <c r="I2" s="10">
        <v>0.1</v>
      </c>
      <c r="J2" s="7" t="s">
        <v>52</v>
      </c>
      <c r="K2" s="8">
        <v>10</v>
      </c>
      <c r="L2" s="7" t="s">
        <v>53</v>
      </c>
      <c r="M2" s="8">
        <v>10</v>
      </c>
      <c r="N2" s="7" t="s">
        <v>54</v>
      </c>
      <c r="O2" s="8">
        <v>2</v>
      </c>
      <c r="P2" s="7" t="s">
        <v>55</v>
      </c>
      <c r="Q2" s="8">
        <v>5</v>
      </c>
      <c r="R2" s="8" t="s">
        <v>56</v>
      </c>
      <c r="S2" s="8">
        <v>5</v>
      </c>
      <c r="T2" s="7" t="s">
        <v>57</v>
      </c>
      <c r="U2" s="8">
        <v>5</v>
      </c>
      <c r="V2" s="8"/>
      <c r="W2" s="8"/>
      <c r="X2" s="8"/>
      <c r="Y2" s="8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>
        <f t="shared" ref="AV2:AV65" si="0">SUM(I2,K2,M2,O2,Q2,S2,U2,W2,Y2,AA2,AC2,AE2,AG2,AI2,AK2,AM2,AO2,AQ2,AS2,AU2)</f>
        <v>37.1</v>
      </c>
    </row>
    <row r="3" spans="1:55" ht="12.75" customHeight="1" x14ac:dyDescent="0.4">
      <c r="A3" s="11">
        <v>819</v>
      </c>
      <c r="B3" s="1" t="s">
        <v>58</v>
      </c>
      <c r="C3" s="1" t="s">
        <v>59</v>
      </c>
      <c r="D3" s="11">
        <v>1</v>
      </c>
      <c r="E3" s="12">
        <v>1</v>
      </c>
      <c r="F3" s="12" t="s">
        <v>50</v>
      </c>
      <c r="G3" s="11"/>
      <c r="H3" s="1"/>
      <c r="I3" s="13"/>
      <c r="J3" s="1"/>
      <c r="K3" s="11"/>
      <c r="L3" s="1"/>
      <c r="M3" s="11"/>
      <c r="N3" s="1"/>
      <c r="O3" s="11"/>
      <c r="P3" s="1"/>
      <c r="Q3" s="11"/>
      <c r="R3" s="11"/>
      <c r="S3" s="11"/>
      <c r="T3" s="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5">
        <f t="shared" si="0"/>
        <v>0</v>
      </c>
    </row>
    <row r="4" spans="1:55" ht="25.5" customHeight="1" x14ac:dyDescent="0.4">
      <c r="A4" s="6">
        <v>818</v>
      </c>
      <c r="B4" s="7" t="s">
        <v>60</v>
      </c>
      <c r="C4" s="7" t="s">
        <v>61</v>
      </c>
      <c r="D4" s="6">
        <f>K4+Q4+M4+O4+20</f>
        <v>100</v>
      </c>
      <c r="E4" s="9">
        <v>1</v>
      </c>
      <c r="F4" s="9" t="s">
        <v>50</v>
      </c>
      <c r="G4" s="8">
        <v>9</v>
      </c>
      <c r="H4" s="7" t="s">
        <v>62</v>
      </c>
      <c r="I4" s="10">
        <v>0.1</v>
      </c>
      <c r="J4" s="7" t="s">
        <v>52</v>
      </c>
      <c r="K4" s="8">
        <v>20</v>
      </c>
      <c r="L4" s="7" t="s">
        <v>63</v>
      </c>
      <c r="M4" s="8">
        <v>25</v>
      </c>
      <c r="N4" s="7" t="s">
        <v>64</v>
      </c>
      <c r="O4" s="8">
        <v>30</v>
      </c>
      <c r="P4" s="8" t="s">
        <v>65</v>
      </c>
      <c r="Q4" s="8">
        <v>5</v>
      </c>
      <c r="R4" s="8" t="s">
        <v>66</v>
      </c>
      <c r="S4" s="8">
        <v>2</v>
      </c>
      <c r="T4" s="8"/>
      <c r="U4" s="8"/>
      <c r="V4" s="8"/>
      <c r="W4" s="8"/>
      <c r="X4" s="8"/>
      <c r="Y4" s="8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>
        <f t="shared" si="0"/>
        <v>82.1</v>
      </c>
    </row>
    <row r="5" spans="1:55" ht="25.5" customHeight="1" x14ac:dyDescent="0.4">
      <c r="A5" s="14">
        <v>817</v>
      </c>
      <c r="B5" s="15" t="s">
        <v>67</v>
      </c>
      <c r="C5" s="15" t="s">
        <v>68</v>
      </c>
      <c r="D5" s="14">
        <f>K5+M5+O5+65</f>
        <v>155</v>
      </c>
      <c r="E5" s="16">
        <v>1</v>
      </c>
      <c r="F5" s="16" t="s">
        <v>50</v>
      </c>
      <c r="G5" s="14">
        <v>9</v>
      </c>
      <c r="H5" s="15" t="s">
        <v>69</v>
      </c>
      <c r="I5" s="17">
        <v>1</v>
      </c>
      <c r="J5" s="15" t="s">
        <v>70</v>
      </c>
      <c r="K5" s="14">
        <v>30</v>
      </c>
      <c r="L5" s="15" t="s">
        <v>64</v>
      </c>
      <c r="M5" s="14">
        <v>20</v>
      </c>
      <c r="N5" s="15" t="s">
        <v>71</v>
      </c>
      <c r="O5" s="14">
        <v>40</v>
      </c>
      <c r="P5" s="15" t="s">
        <v>72</v>
      </c>
      <c r="Q5" s="14">
        <v>3</v>
      </c>
      <c r="R5" s="14"/>
      <c r="S5" s="14"/>
      <c r="T5" s="15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>
        <f t="shared" si="0"/>
        <v>94</v>
      </c>
    </row>
    <row r="6" spans="1:55" ht="25.5" customHeight="1" x14ac:dyDescent="0.4">
      <c r="A6" s="14">
        <v>816</v>
      </c>
      <c r="B6" s="15" t="s">
        <v>73</v>
      </c>
      <c r="C6" s="15" t="s">
        <v>68</v>
      </c>
      <c r="D6" s="14">
        <f>Q6+M6+O6+65</f>
        <v>155</v>
      </c>
      <c r="E6" s="16">
        <v>1</v>
      </c>
      <c r="F6" s="16" t="s">
        <v>50</v>
      </c>
      <c r="G6" s="14">
        <v>9</v>
      </c>
      <c r="H6" s="15" t="s">
        <v>69</v>
      </c>
      <c r="I6" s="17">
        <v>1</v>
      </c>
      <c r="J6" s="15"/>
      <c r="K6" s="14"/>
      <c r="L6" s="15" t="s">
        <v>74</v>
      </c>
      <c r="M6" s="14">
        <v>25</v>
      </c>
      <c r="N6" s="15" t="s">
        <v>75</v>
      </c>
      <c r="O6" s="14">
        <v>30</v>
      </c>
      <c r="P6" s="15" t="s">
        <v>64</v>
      </c>
      <c r="Q6" s="14">
        <v>35</v>
      </c>
      <c r="R6" s="14" t="s">
        <v>76</v>
      </c>
      <c r="S6" s="14">
        <v>10</v>
      </c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>
        <f t="shared" si="0"/>
        <v>101</v>
      </c>
    </row>
    <row r="7" spans="1:55" ht="25.5" customHeight="1" x14ac:dyDescent="0.4">
      <c r="A7" s="14">
        <v>815</v>
      </c>
      <c r="B7" s="15" t="s">
        <v>77</v>
      </c>
      <c r="C7" s="15" t="s">
        <v>68</v>
      </c>
      <c r="D7" s="14">
        <f>K7+M7+O7+65</f>
        <v>155</v>
      </c>
      <c r="E7" s="16">
        <v>1</v>
      </c>
      <c r="F7" s="16" t="s">
        <v>50</v>
      </c>
      <c r="G7" s="14">
        <v>9</v>
      </c>
      <c r="H7" s="15" t="s">
        <v>69</v>
      </c>
      <c r="I7" s="17">
        <v>1</v>
      </c>
      <c r="J7" s="15" t="s">
        <v>78</v>
      </c>
      <c r="K7" s="14">
        <v>30</v>
      </c>
      <c r="L7" s="15" t="s">
        <v>79</v>
      </c>
      <c r="M7" s="14">
        <v>30</v>
      </c>
      <c r="N7" s="15" t="s">
        <v>80</v>
      </c>
      <c r="O7" s="14">
        <v>30</v>
      </c>
      <c r="P7" s="14" t="s">
        <v>72</v>
      </c>
      <c r="Q7" s="14">
        <v>3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>
        <f t="shared" si="0"/>
        <v>94</v>
      </c>
    </row>
    <row r="8" spans="1:55" ht="25.5" customHeight="1" x14ac:dyDescent="0.4">
      <c r="A8" s="14">
        <v>814</v>
      </c>
      <c r="B8" s="15" t="s">
        <v>81</v>
      </c>
      <c r="C8" s="15" t="s">
        <v>68</v>
      </c>
      <c r="D8" s="14">
        <f>M8+O8+Q8+65</f>
        <v>135</v>
      </c>
      <c r="E8" s="16">
        <v>1</v>
      </c>
      <c r="F8" s="16" t="s">
        <v>50</v>
      </c>
      <c r="G8" s="14">
        <v>9</v>
      </c>
      <c r="H8" s="15" t="s">
        <v>69</v>
      </c>
      <c r="I8" s="17">
        <v>1</v>
      </c>
      <c r="J8" s="15"/>
      <c r="K8" s="15"/>
      <c r="L8" s="15" t="s">
        <v>82</v>
      </c>
      <c r="M8" s="14">
        <v>30</v>
      </c>
      <c r="N8" s="15" t="s">
        <v>83</v>
      </c>
      <c r="O8" s="14">
        <v>30</v>
      </c>
      <c r="P8" s="15" t="s">
        <v>84</v>
      </c>
      <c r="Q8" s="14">
        <v>10</v>
      </c>
      <c r="R8" s="14" t="s">
        <v>72</v>
      </c>
      <c r="S8" s="14">
        <v>2</v>
      </c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>
        <f t="shared" si="0"/>
        <v>73</v>
      </c>
    </row>
    <row r="9" spans="1:55" ht="25.5" customHeight="1" x14ac:dyDescent="0.4">
      <c r="A9" s="14">
        <v>813</v>
      </c>
      <c r="B9" s="15" t="s">
        <v>85</v>
      </c>
      <c r="C9" s="15" t="s">
        <v>68</v>
      </c>
      <c r="D9" s="14">
        <f>K9+M9+O9+65</f>
        <v>140</v>
      </c>
      <c r="E9" s="16">
        <v>1</v>
      </c>
      <c r="F9" s="16" t="s">
        <v>50</v>
      </c>
      <c r="G9" s="14">
        <v>9</v>
      </c>
      <c r="H9" s="15" t="s">
        <v>69</v>
      </c>
      <c r="I9" s="17">
        <v>1</v>
      </c>
      <c r="J9" s="15" t="s">
        <v>86</v>
      </c>
      <c r="K9" s="14">
        <v>20</v>
      </c>
      <c r="L9" s="15" t="s">
        <v>53</v>
      </c>
      <c r="M9" s="14">
        <v>30</v>
      </c>
      <c r="N9" s="15" t="s">
        <v>55</v>
      </c>
      <c r="O9" s="14">
        <v>25</v>
      </c>
      <c r="P9" s="14" t="s">
        <v>87</v>
      </c>
      <c r="Q9" s="14">
        <v>3</v>
      </c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>
        <f t="shared" si="0"/>
        <v>79</v>
      </c>
    </row>
    <row r="10" spans="1:55" ht="25.5" customHeight="1" x14ac:dyDescent="0.4">
      <c r="A10" s="14">
        <v>812</v>
      </c>
      <c r="B10" s="15" t="s">
        <v>88</v>
      </c>
      <c r="C10" s="15" t="s">
        <v>68</v>
      </c>
      <c r="D10" s="14">
        <f>K10+M10+O10+Q10+65</f>
        <v>153</v>
      </c>
      <c r="E10" s="16">
        <v>1</v>
      </c>
      <c r="F10" s="16" t="s">
        <v>50</v>
      </c>
      <c r="G10" s="14">
        <v>9</v>
      </c>
      <c r="H10" s="15" t="s">
        <v>69</v>
      </c>
      <c r="I10" s="17">
        <v>1</v>
      </c>
      <c r="J10" s="15" t="s">
        <v>52</v>
      </c>
      <c r="K10" s="14">
        <v>30</v>
      </c>
      <c r="L10" s="15" t="s">
        <v>89</v>
      </c>
      <c r="M10" s="14">
        <v>35</v>
      </c>
      <c r="N10" s="15" t="s">
        <v>90</v>
      </c>
      <c r="O10" s="14">
        <v>20</v>
      </c>
      <c r="P10" s="14" t="s">
        <v>72</v>
      </c>
      <c r="Q10" s="14">
        <v>3</v>
      </c>
      <c r="R10" s="14" t="s">
        <v>91</v>
      </c>
      <c r="S10" s="14">
        <v>5</v>
      </c>
      <c r="T10" s="14" t="s">
        <v>87</v>
      </c>
      <c r="U10" s="14">
        <v>5</v>
      </c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>
        <f t="shared" si="0"/>
        <v>99</v>
      </c>
    </row>
    <row r="11" spans="1:55" ht="25.5" customHeight="1" x14ac:dyDescent="0.4">
      <c r="A11" s="14">
        <v>811</v>
      </c>
      <c r="B11" s="15"/>
      <c r="C11" s="15" t="s">
        <v>68</v>
      </c>
      <c r="D11" s="14">
        <f>K11+M11+O11+65</f>
        <v>140</v>
      </c>
      <c r="E11" s="16">
        <v>1</v>
      </c>
      <c r="F11" s="16" t="s">
        <v>50</v>
      </c>
      <c r="G11" s="14">
        <v>9</v>
      </c>
      <c r="H11" s="15" t="s">
        <v>69</v>
      </c>
      <c r="I11" s="17">
        <v>1</v>
      </c>
      <c r="J11" s="15" t="s">
        <v>52</v>
      </c>
      <c r="K11" s="14">
        <v>30</v>
      </c>
      <c r="L11" s="15" t="s">
        <v>89</v>
      </c>
      <c r="M11" s="14">
        <v>30</v>
      </c>
      <c r="N11" s="15" t="s">
        <v>90</v>
      </c>
      <c r="O11" s="14">
        <v>15</v>
      </c>
      <c r="P11" s="14" t="s">
        <v>87</v>
      </c>
      <c r="Q11" s="14">
        <v>3</v>
      </c>
      <c r="R11" s="14" t="s">
        <v>91</v>
      </c>
      <c r="S11" s="14">
        <v>5</v>
      </c>
      <c r="T11" s="14" t="s">
        <v>76</v>
      </c>
      <c r="U11" s="14">
        <v>10</v>
      </c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>
        <f t="shared" si="0"/>
        <v>94</v>
      </c>
    </row>
    <row r="12" spans="1:55" ht="25.5" customHeight="1" x14ac:dyDescent="0.4">
      <c r="A12" s="14">
        <v>810</v>
      </c>
      <c r="B12" s="15" t="s">
        <v>92</v>
      </c>
      <c r="C12" s="15" t="s">
        <v>68</v>
      </c>
      <c r="D12" s="14">
        <f>K12+M12+O12+65</f>
        <v>150</v>
      </c>
      <c r="E12" s="16">
        <v>1</v>
      </c>
      <c r="F12" s="16" t="s">
        <v>50</v>
      </c>
      <c r="G12" s="14">
        <v>9</v>
      </c>
      <c r="H12" s="15" t="s">
        <v>69</v>
      </c>
      <c r="I12" s="17">
        <v>1</v>
      </c>
      <c r="J12" s="15" t="s">
        <v>52</v>
      </c>
      <c r="K12" s="14">
        <v>30</v>
      </c>
      <c r="L12" s="15" t="s">
        <v>93</v>
      </c>
      <c r="M12" s="14">
        <v>30</v>
      </c>
      <c r="N12" s="15" t="s">
        <v>64</v>
      </c>
      <c r="O12" s="14">
        <v>25</v>
      </c>
      <c r="P12" s="15" t="s">
        <v>72</v>
      </c>
      <c r="Q12" s="14">
        <v>3</v>
      </c>
      <c r="R12" s="14"/>
      <c r="S12" s="14"/>
      <c r="T12" s="15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>
        <f t="shared" si="0"/>
        <v>89</v>
      </c>
    </row>
    <row r="13" spans="1:55" ht="25.5" customHeight="1" x14ac:dyDescent="0.4">
      <c r="A13" s="14">
        <v>809</v>
      </c>
      <c r="B13" s="15" t="s">
        <v>94</v>
      </c>
      <c r="C13" s="15" t="s">
        <v>68</v>
      </c>
      <c r="D13" s="14">
        <f>K13+M13+O13+Q13+65</f>
        <v>158</v>
      </c>
      <c r="E13" s="16">
        <v>1</v>
      </c>
      <c r="F13" s="16" t="s">
        <v>50</v>
      </c>
      <c r="G13" s="14">
        <v>9</v>
      </c>
      <c r="H13" s="15" t="s">
        <v>69</v>
      </c>
      <c r="I13" s="17">
        <v>1</v>
      </c>
      <c r="J13" s="15" t="s">
        <v>70</v>
      </c>
      <c r="K13" s="14">
        <v>30</v>
      </c>
      <c r="L13" s="15" t="s">
        <v>93</v>
      </c>
      <c r="M13" s="14">
        <v>35</v>
      </c>
      <c r="N13" s="15" t="s">
        <v>64</v>
      </c>
      <c r="O13" s="14">
        <v>25</v>
      </c>
      <c r="P13" s="14" t="s">
        <v>72</v>
      </c>
      <c r="Q13" s="14">
        <v>3</v>
      </c>
      <c r="R13" s="14" t="s">
        <v>66</v>
      </c>
      <c r="S13" s="14">
        <v>5</v>
      </c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>
        <f t="shared" si="0"/>
        <v>99</v>
      </c>
    </row>
    <row r="14" spans="1:55" ht="25.5" customHeight="1" x14ac:dyDescent="0.4">
      <c r="A14" s="14">
        <v>808</v>
      </c>
      <c r="B14" s="15" t="s">
        <v>95</v>
      </c>
      <c r="C14" s="15" t="s">
        <v>68</v>
      </c>
      <c r="D14" s="14">
        <f>K14+M14+O14+65</f>
        <v>150</v>
      </c>
      <c r="E14" s="16">
        <v>1</v>
      </c>
      <c r="F14" s="16" t="s">
        <v>50</v>
      </c>
      <c r="G14" s="14">
        <v>9</v>
      </c>
      <c r="H14" s="15" t="s">
        <v>69</v>
      </c>
      <c r="I14" s="17">
        <v>1</v>
      </c>
      <c r="J14" s="15" t="s">
        <v>52</v>
      </c>
      <c r="K14" s="14">
        <v>30</v>
      </c>
      <c r="L14" s="15" t="s">
        <v>96</v>
      </c>
      <c r="M14" s="14">
        <v>30</v>
      </c>
      <c r="N14" s="15" t="s">
        <v>64</v>
      </c>
      <c r="O14" s="14">
        <v>25</v>
      </c>
      <c r="P14" s="14" t="s">
        <v>66</v>
      </c>
      <c r="Q14" s="14">
        <v>3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>
        <f t="shared" si="0"/>
        <v>89</v>
      </c>
    </row>
    <row r="15" spans="1:55" ht="25.5" customHeight="1" x14ac:dyDescent="0.4">
      <c r="A15" s="14">
        <v>807</v>
      </c>
      <c r="B15" s="15" t="s">
        <v>97</v>
      </c>
      <c r="C15" s="15" t="s">
        <v>68</v>
      </c>
      <c r="D15" s="14">
        <f>K15+M15+O15+Q15+65</f>
        <v>152</v>
      </c>
      <c r="E15" s="16">
        <v>1</v>
      </c>
      <c r="F15" s="16" t="s">
        <v>50</v>
      </c>
      <c r="G15" s="14">
        <v>9</v>
      </c>
      <c r="H15" s="15" t="s">
        <v>69</v>
      </c>
      <c r="I15" s="17">
        <v>1</v>
      </c>
      <c r="J15" s="15" t="s">
        <v>52</v>
      </c>
      <c r="K15" s="15">
        <v>30</v>
      </c>
      <c r="L15" s="15" t="s">
        <v>98</v>
      </c>
      <c r="M15" s="14">
        <v>30</v>
      </c>
      <c r="N15" s="15" t="s">
        <v>96</v>
      </c>
      <c r="O15" s="14">
        <v>12</v>
      </c>
      <c r="P15" s="15" t="s">
        <v>90</v>
      </c>
      <c r="Q15" s="14">
        <v>15</v>
      </c>
      <c r="R15" s="14" t="s">
        <v>72</v>
      </c>
      <c r="S15" s="14">
        <v>3</v>
      </c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>
        <f t="shared" si="0"/>
        <v>91</v>
      </c>
    </row>
    <row r="16" spans="1:55" ht="16.5" customHeight="1" x14ac:dyDescent="0.4">
      <c r="A16" s="14">
        <v>806</v>
      </c>
      <c r="B16" s="15" t="s">
        <v>99</v>
      </c>
      <c r="C16" s="15" t="s">
        <v>68</v>
      </c>
      <c r="D16" s="14">
        <f>K16+M16+O16+Q16+65</f>
        <v>155</v>
      </c>
      <c r="E16" s="16">
        <v>1</v>
      </c>
      <c r="F16" s="16" t="s">
        <v>50</v>
      </c>
      <c r="G16" s="14">
        <v>9</v>
      </c>
      <c r="H16" s="15" t="s">
        <v>69</v>
      </c>
      <c r="I16" s="17">
        <v>1</v>
      </c>
      <c r="J16" s="15" t="s">
        <v>52</v>
      </c>
      <c r="K16" s="14">
        <v>30</v>
      </c>
      <c r="L16" s="15" t="s">
        <v>98</v>
      </c>
      <c r="M16" s="14">
        <v>30</v>
      </c>
      <c r="N16" s="15" t="s">
        <v>96</v>
      </c>
      <c r="O16" s="14">
        <v>15</v>
      </c>
      <c r="P16" s="15" t="s">
        <v>90</v>
      </c>
      <c r="Q16" s="14">
        <v>15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>
        <f t="shared" si="0"/>
        <v>91</v>
      </c>
    </row>
    <row r="17" spans="1:55" ht="25.5" customHeight="1" x14ac:dyDescent="0.4">
      <c r="A17" s="14">
        <v>805</v>
      </c>
      <c r="B17" s="15"/>
      <c r="C17" s="15" t="s">
        <v>68</v>
      </c>
      <c r="D17" s="14">
        <f>K17+M17+O17+Q17+65</f>
        <v>153</v>
      </c>
      <c r="E17" s="16">
        <v>1</v>
      </c>
      <c r="F17" s="16" t="s">
        <v>50</v>
      </c>
      <c r="G17" s="14">
        <v>9</v>
      </c>
      <c r="H17" s="15" t="s">
        <v>69</v>
      </c>
      <c r="I17" s="17">
        <v>1</v>
      </c>
      <c r="J17" s="15" t="s">
        <v>52</v>
      </c>
      <c r="K17" s="14">
        <v>30</v>
      </c>
      <c r="L17" s="15" t="s">
        <v>98</v>
      </c>
      <c r="M17" s="14">
        <v>40</v>
      </c>
      <c r="N17" s="15" t="s">
        <v>100</v>
      </c>
      <c r="O17" s="14">
        <v>15</v>
      </c>
      <c r="P17" s="14" t="s">
        <v>72</v>
      </c>
      <c r="Q17" s="14">
        <v>3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>
        <f t="shared" si="0"/>
        <v>89</v>
      </c>
    </row>
    <row r="18" spans="1:55" ht="25.5" customHeight="1" x14ac:dyDescent="0.4">
      <c r="A18" s="14">
        <v>804</v>
      </c>
      <c r="B18" s="15" t="s">
        <v>101</v>
      </c>
      <c r="C18" s="15" t="s">
        <v>68</v>
      </c>
      <c r="D18" s="14">
        <f>K18+M18+O18+65</f>
        <v>140</v>
      </c>
      <c r="E18" s="16">
        <v>1</v>
      </c>
      <c r="F18" s="16" t="s">
        <v>50</v>
      </c>
      <c r="G18" s="14">
        <v>9</v>
      </c>
      <c r="H18" s="15" t="s">
        <v>69</v>
      </c>
      <c r="I18" s="17">
        <v>1</v>
      </c>
      <c r="J18" s="15" t="s">
        <v>52</v>
      </c>
      <c r="K18" s="14">
        <v>30</v>
      </c>
      <c r="L18" s="15" t="s">
        <v>98</v>
      </c>
      <c r="M18" s="14">
        <v>30</v>
      </c>
      <c r="N18" s="15" t="s">
        <v>100</v>
      </c>
      <c r="O18" s="14">
        <v>15</v>
      </c>
      <c r="P18" s="14" t="s">
        <v>72</v>
      </c>
      <c r="Q18" s="14">
        <v>3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>
        <f t="shared" si="0"/>
        <v>79</v>
      </c>
    </row>
    <row r="19" spans="1:55" ht="25.5" customHeight="1" x14ac:dyDescent="0.4">
      <c r="A19" s="14">
        <v>803</v>
      </c>
      <c r="B19" s="15" t="s">
        <v>102</v>
      </c>
      <c r="C19" s="15" t="s">
        <v>68</v>
      </c>
      <c r="D19" s="14">
        <f>M19+O19+Q19+85</f>
        <v>170</v>
      </c>
      <c r="E19" s="16">
        <v>1</v>
      </c>
      <c r="F19" s="16" t="s">
        <v>50</v>
      </c>
      <c r="G19" s="14">
        <v>12</v>
      </c>
      <c r="H19" s="15" t="s">
        <v>103</v>
      </c>
      <c r="I19" s="17">
        <v>1</v>
      </c>
      <c r="J19" s="15"/>
      <c r="K19" s="14"/>
      <c r="L19" s="15" t="s">
        <v>74</v>
      </c>
      <c r="M19" s="14">
        <v>15</v>
      </c>
      <c r="N19" s="15" t="s">
        <v>75</v>
      </c>
      <c r="O19" s="14">
        <v>30</v>
      </c>
      <c r="P19" s="14" t="s">
        <v>64</v>
      </c>
      <c r="Q19" s="14">
        <v>40</v>
      </c>
      <c r="R19" s="14" t="s">
        <v>76</v>
      </c>
      <c r="S19" s="14">
        <v>5</v>
      </c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>
        <f t="shared" si="0"/>
        <v>91</v>
      </c>
    </row>
    <row r="20" spans="1:55" ht="25.5" customHeight="1" x14ac:dyDescent="0.4">
      <c r="A20" s="14">
        <v>802</v>
      </c>
      <c r="B20" s="15" t="s">
        <v>104</v>
      </c>
      <c r="C20" s="15" t="s">
        <v>68</v>
      </c>
      <c r="D20" s="14">
        <f>M20+K20+O20+Q20+S20+85</f>
        <v>150</v>
      </c>
      <c r="E20" s="16">
        <v>1</v>
      </c>
      <c r="F20" s="16" t="s">
        <v>50</v>
      </c>
      <c r="G20" s="14">
        <v>12</v>
      </c>
      <c r="H20" s="15" t="s">
        <v>103</v>
      </c>
      <c r="I20" s="17">
        <v>1</v>
      </c>
      <c r="J20" s="15" t="s">
        <v>105</v>
      </c>
      <c r="K20" s="14">
        <v>20</v>
      </c>
      <c r="L20" s="15" t="s">
        <v>106</v>
      </c>
      <c r="M20" s="14">
        <v>10</v>
      </c>
      <c r="N20" s="15" t="s">
        <v>107</v>
      </c>
      <c r="O20" s="14">
        <v>10</v>
      </c>
      <c r="P20" s="14" t="s">
        <v>55</v>
      </c>
      <c r="Q20" s="14">
        <v>10</v>
      </c>
      <c r="R20" s="14" t="s">
        <v>108</v>
      </c>
      <c r="S20" s="14">
        <v>15</v>
      </c>
      <c r="T20" s="14" t="s">
        <v>76</v>
      </c>
      <c r="U20" s="14"/>
      <c r="V20" s="14" t="s">
        <v>109</v>
      </c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>
        <f t="shared" si="0"/>
        <v>66</v>
      </c>
    </row>
    <row r="21" spans="1:55" ht="25.5" customHeight="1" x14ac:dyDescent="0.4">
      <c r="A21" s="15">
        <v>801</v>
      </c>
      <c r="B21" s="15" t="s">
        <v>110</v>
      </c>
      <c r="C21" s="15" t="s">
        <v>68</v>
      </c>
      <c r="D21" s="14">
        <f>M21+K21+O21+Q21+S21+85</f>
        <v>150</v>
      </c>
      <c r="E21" s="16">
        <v>1</v>
      </c>
      <c r="F21" s="16" t="s">
        <v>50</v>
      </c>
      <c r="G21" s="14">
        <v>12</v>
      </c>
      <c r="H21" s="15" t="s">
        <v>103</v>
      </c>
      <c r="I21" s="17">
        <v>1</v>
      </c>
      <c r="J21" s="15" t="s">
        <v>52</v>
      </c>
      <c r="K21" s="14">
        <v>25</v>
      </c>
      <c r="L21" s="15" t="s">
        <v>111</v>
      </c>
      <c r="M21" s="14">
        <v>15</v>
      </c>
      <c r="N21" s="15" t="s">
        <v>112</v>
      </c>
      <c r="O21" s="14">
        <v>15</v>
      </c>
      <c r="P21" s="14" t="s">
        <v>76</v>
      </c>
      <c r="Q21" s="14">
        <v>10</v>
      </c>
      <c r="R21" s="14"/>
      <c r="S21" s="14"/>
      <c r="T21" s="14"/>
      <c r="U21" s="14"/>
      <c r="V21" s="14"/>
      <c r="W21" s="14"/>
      <c r="X21" s="14"/>
      <c r="Y21" s="14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>
        <f t="shared" si="0"/>
        <v>66</v>
      </c>
      <c r="AW21" s="18"/>
      <c r="AX21" s="18"/>
      <c r="AY21" s="18"/>
      <c r="AZ21" s="18"/>
      <c r="BA21" s="18"/>
      <c r="BB21" s="18"/>
      <c r="BC21" s="18"/>
    </row>
    <row r="22" spans="1:55" ht="25.5" customHeight="1" x14ac:dyDescent="0.4">
      <c r="A22" s="15">
        <v>796</v>
      </c>
      <c r="B22" s="15" t="s">
        <v>113</v>
      </c>
      <c r="C22" s="15" t="s">
        <v>68</v>
      </c>
      <c r="D22" s="14">
        <f>M22+K22+Q22+O22+85</f>
        <v>150</v>
      </c>
      <c r="E22" s="16">
        <v>1</v>
      </c>
      <c r="F22" s="16" t="s">
        <v>50</v>
      </c>
      <c r="G22" s="14">
        <v>12</v>
      </c>
      <c r="H22" s="15" t="s">
        <v>103</v>
      </c>
      <c r="I22" s="17">
        <v>1</v>
      </c>
      <c r="J22" s="15" t="s">
        <v>52</v>
      </c>
      <c r="K22" s="14">
        <v>25</v>
      </c>
      <c r="L22" s="15" t="s">
        <v>89</v>
      </c>
      <c r="M22" s="14">
        <v>20</v>
      </c>
      <c r="N22" s="15" t="s">
        <v>90</v>
      </c>
      <c r="O22" s="14">
        <v>15</v>
      </c>
      <c r="P22" s="14" t="s">
        <v>65</v>
      </c>
      <c r="Q22" s="14">
        <v>5</v>
      </c>
      <c r="R22" s="14" t="s">
        <v>91</v>
      </c>
      <c r="S22" s="14">
        <v>5</v>
      </c>
      <c r="T22" s="14" t="s">
        <v>87</v>
      </c>
      <c r="U22" s="14">
        <v>5</v>
      </c>
      <c r="V22" s="14" t="s">
        <v>72</v>
      </c>
      <c r="W22" s="14">
        <v>5</v>
      </c>
      <c r="X22" s="14"/>
      <c r="Y22" s="14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>
        <f t="shared" si="0"/>
        <v>81</v>
      </c>
      <c r="AW22" s="18"/>
      <c r="AX22" s="18"/>
      <c r="AY22" s="18"/>
      <c r="AZ22" s="18"/>
      <c r="BA22" s="18"/>
      <c r="BB22" s="18"/>
      <c r="BC22" s="18"/>
    </row>
    <row r="23" spans="1:55" ht="25.5" customHeight="1" x14ac:dyDescent="0.4">
      <c r="A23" s="14">
        <v>780</v>
      </c>
      <c r="B23" s="15" t="s">
        <v>114</v>
      </c>
      <c r="C23" s="15" t="s">
        <v>68</v>
      </c>
      <c r="D23" s="14">
        <f>M23+K23+O23+85</f>
        <v>150</v>
      </c>
      <c r="E23" s="16">
        <v>1</v>
      </c>
      <c r="F23" s="16" t="s">
        <v>50</v>
      </c>
      <c r="G23" s="14">
        <v>12</v>
      </c>
      <c r="H23" s="15" t="s">
        <v>103</v>
      </c>
      <c r="I23" s="17">
        <v>1</v>
      </c>
      <c r="J23" s="15" t="s">
        <v>105</v>
      </c>
      <c r="K23" s="14">
        <v>20</v>
      </c>
      <c r="L23" s="15" t="s">
        <v>83</v>
      </c>
      <c r="M23" s="14">
        <v>30</v>
      </c>
      <c r="N23" s="15" t="s">
        <v>84</v>
      </c>
      <c r="O23" s="14">
        <v>15</v>
      </c>
      <c r="P23" s="14" t="s">
        <v>76</v>
      </c>
      <c r="Q23" s="14">
        <v>10</v>
      </c>
      <c r="R23" s="14" t="s">
        <v>66</v>
      </c>
      <c r="S23" s="14">
        <v>5</v>
      </c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>
        <f t="shared" si="0"/>
        <v>81</v>
      </c>
    </row>
    <row r="24" spans="1:55" ht="25.5" customHeight="1" x14ac:dyDescent="0.4">
      <c r="A24" s="14">
        <v>779</v>
      </c>
      <c r="B24" s="19" t="s">
        <v>115</v>
      </c>
      <c r="C24" s="15" t="s">
        <v>68</v>
      </c>
      <c r="D24" s="14">
        <f>K24+M24+O24+Q24+85</f>
        <v>180</v>
      </c>
      <c r="E24" s="16">
        <v>1</v>
      </c>
      <c r="F24" s="16" t="s">
        <v>50</v>
      </c>
      <c r="G24" s="14">
        <v>12</v>
      </c>
      <c r="H24" s="15" t="s">
        <v>103</v>
      </c>
      <c r="I24" s="17">
        <v>1</v>
      </c>
      <c r="J24" s="15"/>
      <c r="K24" s="14"/>
      <c r="L24" s="15" t="s">
        <v>74</v>
      </c>
      <c r="M24" s="14">
        <v>25</v>
      </c>
      <c r="N24" s="15" t="s">
        <v>75</v>
      </c>
      <c r="O24" s="14">
        <v>30</v>
      </c>
      <c r="P24" s="14" t="s">
        <v>64</v>
      </c>
      <c r="Q24" s="14">
        <v>40</v>
      </c>
      <c r="R24" s="14" t="s">
        <v>76</v>
      </c>
      <c r="S24" s="14">
        <v>10</v>
      </c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>
        <f t="shared" si="0"/>
        <v>106</v>
      </c>
    </row>
    <row r="25" spans="1:55" ht="25.5" customHeight="1" x14ac:dyDescent="0.4">
      <c r="A25" s="14">
        <v>778</v>
      </c>
      <c r="B25" s="15" t="s">
        <v>116</v>
      </c>
      <c r="C25" s="15" t="s">
        <v>68</v>
      </c>
      <c r="D25" s="14">
        <f>K25+M25+O25+Q25+S25+U25+85</f>
        <v>150</v>
      </c>
      <c r="E25" s="16">
        <v>1</v>
      </c>
      <c r="F25" s="16" t="s">
        <v>50</v>
      </c>
      <c r="G25" s="14">
        <v>12</v>
      </c>
      <c r="H25" s="15" t="s">
        <v>103</v>
      </c>
      <c r="I25" s="17">
        <v>1</v>
      </c>
      <c r="J25" s="15"/>
      <c r="K25" s="14"/>
      <c r="L25" s="15" t="s">
        <v>74</v>
      </c>
      <c r="M25" s="14">
        <v>20</v>
      </c>
      <c r="N25" s="15" t="s">
        <v>106</v>
      </c>
      <c r="O25" s="14">
        <v>10</v>
      </c>
      <c r="P25" s="15" t="s">
        <v>107</v>
      </c>
      <c r="Q25" s="14">
        <v>10</v>
      </c>
      <c r="R25" s="14" t="s">
        <v>55</v>
      </c>
      <c r="S25" s="14">
        <v>10</v>
      </c>
      <c r="T25" s="15" t="s">
        <v>108</v>
      </c>
      <c r="U25" s="14">
        <v>15</v>
      </c>
      <c r="V25" s="14" t="s">
        <v>76</v>
      </c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>
        <f t="shared" si="0"/>
        <v>66</v>
      </c>
    </row>
    <row r="26" spans="1:55" ht="25.5" customHeight="1" x14ac:dyDescent="0.4">
      <c r="A26" s="14">
        <v>777</v>
      </c>
      <c r="B26" s="19" t="s">
        <v>117</v>
      </c>
      <c r="C26" s="19" t="s">
        <v>118</v>
      </c>
      <c r="D26" s="20">
        <f>M26+O26+Q26++S26+U26+W26</f>
        <v>1000</v>
      </c>
      <c r="E26" s="21">
        <v>1</v>
      </c>
      <c r="F26" s="21" t="s">
        <v>50</v>
      </c>
      <c r="G26" s="14">
        <v>1</v>
      </c>
      <c r="H26" s="19"/>
      <c r="I26" s="22"/>
      <c r="J26" s="19"/>
      <c r="K26" s="20"/>
      <c r="L26" s="19" t="s">
        <v>119</v>
      </c>
      <c r="M26" s="20">
        <v>500</v>
      </c>
      <c r="N26" s="19" t="s">
        <v>120</v>
      </c>
      <c r="O26" s="20">
        <v>150</v>
      </c>
      <c r="P26" s="19" t="s">
        <v>100</v>
      </c>
      <c r="Q26" s="20">
        <v>100</v>
      </c>
      <c r="R26" s="20" t="s">
        <v>121</v>
      </c>
      <c r="S26" s="20">
        <v>100</v>
      </c>
      <c r="T26" s="19" t="s">
        <v>122</v>
      </c>
      <c r="U26" s="20">
        <v>50</v>
      </c>
      <c r="V26" s="20" t="s">
        <v>123</v>
      </c>
      <c r="W26" s="20">
        <v>100</v>
      </c>
      <c r="X26" s="20" t="s">
        <v>56</v>
      </c>
      <c r="Y26" s="20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>
        <f t="shared" si="0"/>
        <v>1000</v>
      </c>
    </row>
    <row r="27" spans="1:55" ht="25.5" customHeight="1" x14ac:dyDescent="0.4">
      <c r="A27" s="14">
        <v>776</v>
      </c>
      <c r="B27" s="15" t="s">
        <v>124</v>
      </c>
      <c r="C27" s="15" t="s">
        <v>125</v>
      </c>
      <c r="D27" s="14">
        <f>K27+M27+O27+Q27+10</f>
        <v>31</v>
      </c>
      <c r="E27" s="16">
        <v>1</v>
      </c>
      <c r="F27" s="16" t="s">
        <v>50</v>
      </c>
      <c r="G27" s="14">
        <v>30</v>
      </c>
      <c r="H27" s="19" t="s">
        <v>126</v>
      </c>
      <c r="I27" s="17">
        <v>0.1</v>
      </c>
      <c r="J27" s="15"/>
      <c r="K27" s="14"/>
      <c r="L27" s="15" t="s">
        <v>82</v>
      </c>
      <c r="M27" s="14">
        <v>10</v>
      </c>
      <c r="N27" s="15" t="s">
        <v>127</v>
      </c>
      <c r="O27" s="14">
        <v>8</v>
      </c>
      <c r="P27" s="15" t="s">
        <v>128</v>
      </c>
      <c r="Q27" s="14">
        <v>3</v>
      </c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>
        <f t="shared" si="0"/>
        <v>21.1</v>
      </c>
    </row>
    <row r="28" spans="1:55" ht="25.5" customHeight="1" x14ac:dyDescent="0.4">
      <c r="A28" s="14">
        <v>775</v>
      </c>
      <c r="B28" s="15" t="s">
        <v>129</v>
      </c>
      <c r="C28" s="15" t="s">
        <v>130</v>
      </c>
      <c r="D28" s="14">
        <f>Q28+M28+O28+30</f>
        <v>100</v>
      </c>
      <c r="E28" s="16">
        <v>1</v>
      </c>
      <c r="F28" s="16" t="s">
        <v>50</v>
      </c>
      <c r="G28" s="14">
        <v>15</v>
      </c>
      <c r="H28" s="15" t="s">
        <v>131</v>
      </c>
      <c r="I28" s="17">
        <v>1</v>
      </c>
      <c r="J28" s="15"/>
      <c r="K28" s="14"/>
      <c r="L28" s="15" t="s">
        <v>74</v>
      </c>
      <c r="M28" s="14">
        <v>10</v>
      </c>
      <c r="N28" s="15" t="s">
        <v>75</v>
      </c>
      <c r="O28" s="14">
        <v>30</v>
      </c>
      <c r="P28" s="15" t="s">
        <v>64</v>
      </c>
      <c r="Q28" s="14">
        <v>30</v>
      </c>
      <c r="R28" s="14" t="s">
        <v>76</v>
      </c>
      <c r="S28" s="14">
        <v>10</v>
      </c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>
        <f t="shared" si="0"/>
        <v>81</v>
      </c>
    </row>
    <row r="29" spans="1:55" ht="25.5" customHeight="1" x14ac:dyDescent="0.4">
      <c r="A29" s="14">
        <v>774</v>
      </c>
      <c r="B29" s="15" t="s">
        <v>132</v>
      </c>
      <c r="C29" s="15" t="s">
        <v>130</v>
      </c>
      <c r="D29" s="14">
        <f>M29+O29+S29+Q29+U29+W29+30</f>
        <v>100</v>
      </c>
      <c r="E29" s="16">
        <v>1</v>
      </c>
      <c r="F29" s="16" t="s">
        <v>50</v>
      </c>
      <c r="G29" s="14">
        <v>15</v>
      </c>
      <c r="H29" s="15" t="s">
        <v>131</v>
      </c>
      <c r="I29" s="17">
        <v>1</v>
      </c>
      <c r="J29" s="15"/>
      <c r="K29" s="15"/>
      <c r="L29" s="15" t="s">
        <v>74</v>
      </c>
      <c r="M29" s="14">
        <v>10</v>
      </c>
      <c r="N29" s="15" t="s">
        <v>106</v>
      </c>
      <c r="O29" s="14">
        <v>10</v>
      </c>
      <c r="P29" s="15" t="s">
        <v>107</v>
      </c>
      <c r="Q29" s="14">
        <v>10</v>
      </c>
      <c r="R29" s="15" t="s">
        <v>55</v>
      </c>
      <c r="S29" s="14">
        <v>10</v>
      </c>
      <c r="T29" s="14" t="s">
        <v>108</v>
      </c>
      <c r="U29" s="14">
        <v>20</v>
      </c>
      <c r="V29" s="15" t="s">
        <v>84</v>
      </c>
      <c r="W29" s="14">
        <v>10</v>
      </c>
      <c r="X29" s="14" t="s">
        <v>72</v>
      </c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>
        <f t="shared" si="0"/>
        <v>71</v>
      </c>
    </row>
    <row r="30" spans="1:55" ht="25.5" customHeight="1" x14ac:dyDescent="0.4">
      <c r="A30" s="14">
        <v>773</v>
      </c>
      <c r="B30" s="15" t="s">
        <v>133</v>
      </c>
      <c r="C30" s="15" t="s">
        <v>130</v>
      </c>
      <c r="D30" s="14">
        <f>K30+M30+O30+30</f>
        <v>100</v>
      </c>
      <c r="E30" s="16">
        <v>1</v>
      </c>
      <c r="F30" s="16" t="s">
        <v>50</v>
      </c>
      <c r="G30" s="14">
        <v>15</v>
      </c>
      <c r="H30" s="15" t="s">
        <v>131</v>
      </c>
      <c r="I30" s="17">
        <v>1</v>
      </c>
      <c r="J30" s="15" t="s">
        <v>52</v>
      </c>
      <c r="K30" s="14">
        <v>35</v>
      </c>
      <c r="L30" s="15" t="s">
        <v>83</v>
      </c>
      <c r="M30" s="14">
        <v>25</v>
      </c>
      <c r="N30" s="15" t="s">
        <v>84</v>
      </c>
      <c r="O30" s="14">
        <v>10</v>
      </c>
      <c r="P30" s="14" t="s">
        <v>72</v>
      </c>
      <c r="Q30" s="14">
        <v>3</v>
      </c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>
        <f t="shared" si="0"/>
        <v>74</v>
      </c>
    </row>
    <row r="31" spans="1:55" ht="25.5" customHeight="1" x14ac:dyDescent="0.4">
      <c r="A31" s="14">
        <v>772</v>
      </c>
      <c r="B31" s="19" t="s">
        <v>134</v>
      </c>
      <c r="C31" s="15" t="s">
        <v>130</v>
      </c>
      <c r="D31" s="14">
        <f>K31+M31+O31+Q31+30</f>
        <v>103</v>
      </c>
      <c r="E31" s="16">
        <v>1</v>
      </c>
      <c r="F31" s="16" t="s">
        <v>50</v>
      </c>
      <c r="G31" s="14">
        <v>15</v>
      </c>
      <c r="H31" s="15" t="s">
        <v>131</v>
      </c>
      <c r="I31" s="17">
        <v>1</v>
      </c>
      <c r="J31" s="15" t="s">
        <v>78</v>
      </c>
      <c r="K31" s="14">
        <v>20</v>
      </c>
      <c r="L31" s="15" t="s">
        <v>79</v>
      </c>
      <c r="M31" s="14">
        <v>30</v>
      </c>
      <c r="N31" s="15" t="s">
        <v>80</v>
      </c>
      <c r="O31" s="14">
        <v>20</v>
      </c>
      <c r="P31" s="14" t="s">
        <v>72</v>
      </c>
      <c r="Q31" s="14">
        <v>3</v>
      </c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>
        <f t="shared" si="0"/>
        <v>74</v>
      </c>
    </row>
    <row r="32" spans="1:55" ht="25.5" customHeight="1" x14ac:dyDescent="0.4">
      <c r="A32" s="14">
        <v>771</v>
      </c>
      <c r="B32" s="15" t="s">
        <v>135</v>
      </c>
      <c r="C32" s="15" t="s">
        <v>130</v>
      </c>
      <c r="D32" s="14">
        <f>M32+O32+S32+Q32+U32+W32+30</f>
        <v>95</v>
      </c>
      <c r="E32" s="16">
        <v>1</v>
      </c>
      <c r="F32" s="16" t="s">
        <v>50</v>
      </c>
      <c r="G32" s="14">
        <v>15</v>
      </c>
      <c r="H32" s="15" t="s">
        <v>131</v>
      </c>
      <c r="I32" s="17">
        <v>1</v>
      </c>
      <c r="J32" s="15" t="s">
        <v>86</v>
      </c>
      <c r="K32" s="14">
        <v>20</v>
      </c>
      <c r="L32" s="15" t="s">
        <v>53</v>
      </c>
      <c r="M32" s="14">
        <v>30</v>
      </c>
      <c r="N32" s="15" t="s">
        <v>55</v>
      </c>
      <c r="O32" s="14">
        <v>20</v>
      </c>
      <c r="P32" s="15" t="s">
        <v>76</v>
      </c>
      <c r="Q32" s="14">
        <v>10</v>
      </c>
      <c r="R32" s="14" t="s">
        <v>87</v>
      </c>
      <c r="S32" s="14">
        <v>5</v>
      </c>
      <c r="T32" s="15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>
        <f t="shared" si="0"/>
        <v>86</v>
      </c>
    </row>
    <row r="33" spans="1:48" ht="25.5" customHeight="1" x14ac:dyDescent="0.4">
      <c r="A33" s="14">
        <v>766</v>
      </c>
      <c r="B33" s="15" t="s">
        <v>136</v>
      </c>
      <c r="C33" s="15" t="s">
        <v>130</v>
      </c>
      <c r="D33" s="14">
        <f>M33+O33+Q33+S33+30</f>
        <v>100</v>
      </c>
      <c r="E33" s="16">
        <v>1</v>
      </c>
      <c r="F33" s="16" t="s">
        <v>50</v>
      </c>
      <c r="G33" s="14">
        <v>15</v>
      </c>
      <c r="H33" s="15" t="s">
        <v>131</v>
      </c>
      <c r="I33" s="17">
        <v>1</v>
      </c>
      <c r="J33" s="15" t="s">
        <v>137</v>
      </c>
      <c r="K33" s="15">
        <v>15</v>
      </c>
      <c r="L33" s="15"/>
      <c r="M33" s="14">
        <v>15</v>
      </c>
      <c r="N33" s="15" t="s">
        <v>138</v>
      </c>
      <c r="O33" s="14">
        <v>40</v>
      </c>
      <c r="P33" s="15" t="s">
        <v>139</v>
      </c>
      <c r="Q33" s="14">
        <v>10</v>
      </c>
      <c r="R33" s="15" t="s">
        <v>140</v>
      </c>
      <c r="S33" s="14">
        <v>5</v>
      </c>
      <c r="T33" s="14" t="s">
        <v>72</v>
      </c>
      <c r="U33" s="14"/>
      <c r="V33" s="15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>
        <f t="shared" si="0"/>
        <v>86</v>
      </c>
    </row>
    <row r="34" spans="1:48" ht="25.5" customHeight="1" x14ac:dyDescent="0.4">
      <c r="A34" s="14">
        <v>765</v>
      </c>
      <c r="B34" s="15" t="s">
        <v>141</v>
      </c>
      <c r="C34" s="15" t="s">
        <v>142</v>
      </c>
      <c r="D34" s="14">
        <f>K34+M34+O34+30</f>
        <v>100</v>
      </c>
      <c r="E34" s="16">
        <v>1</v>
      </c>
      <c r="F34" s="16" t="s">
        <v>50</v>
      </c>
      <c r="G34" s="14">
        <v>15</v>
      </c>
      <c r="H34" s="15" t="s">
        <v>131</v>
      </c>
      <c r="I34" s="17">
        <v>1</v>
      </c>
      <c r="J34" s="15" t="s">
        <v>70</v>
      </c>
      <c r="K34" s="14">
        <v>20</v>
      </c>
      <c r="L34" s="15" t="s">
        <v>143</v>
      </c>
      <c r="M34" s="14">
        <v>40</v>
      </c>
      <c r="N34" s="15" t="s">
        <v>144</v>
      </c>
      <c r="O34" s="14">
        <v>10</v>
      </c>
      <c r="P34" s="15" t="s">
        <v>87</v>
      </c>
      <c r="Q34" s="14">
        <v>3</v>
      </c>
      <c r="R34" s="14" t="s">
        <v>72</v>
      </c>
      <c r="S34" s="14">
        <v>3</v>
      </c>
      <c r="T34" s="15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>
        <f t="shared" si="0"/>
        <v>77</v>
      </c>
    </row>
    <row r="35" spans="1:48" ht="25.5" customHeight="1" x14ac:dyDescent="0.4">
      <c r="A35" s="14">
        <v>764</v>
      </c>
      <c r="B35" s="15" t="s">
        <v>145</v>
      </c>
      <c r="C35" s="15" t="s">
        <v>142</v>
      </c>
      <c r="D35" s="14">
        <f>K35+M35+O35+Q35+D86+30</f>
        <v>135</v>
      </c>
      <c r="E35" s="16">
        <v>1</v>
      </c>
      <c r="F35" s="16" t="s">
        <v>50</v>
      </c>
      <c r="G35" s="14">
        <v>15</v>
      </c>
      <c r="H35" s="15" t="s">
        <v>131</v>
      </c>
      <c r="I35" s="17">
        <v>1</v>
      </c>
      <c r="J35" s="15" t="s">
        <v>86</v>
      </c>
      <c r="K35" s="14">
        <v>15</v>
      </c>
      <c r="L35" s="15" t="s">
        <v>146</v>
      </c>
      <c r="M35" s="14">
        <v>40</v>
      </c>
      <c r="N35" s="15" t="s">
        <v>147</v>
      </c>
      <c r="O35" s="14">
        <v>10</v>
      </c>
      <c r="P35" s="15" t="s">
        <v>148</v>
      </c>
      <c r="Q35" s="14">
        <v>5</v>
      </c>
      <c r="R35" s="14" t="s">
        <v>72</v>
      </c>
      <c r="S35" s="14">
        <v>3</v>
      </c>
      <c r="T35" s="15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>
        <f t="shared" si="0"/>
        <v>74</v>
      </c>
    </row>
    <row r="36" spans="1:48" ht="25.5" customHeight="1" x14ac:dyDescent="0.4">
      <c r="A36" s="14">
        <v>763</v>
      </c>
      <c r="B36" s="15" t="s">
        <v>149</v>
      </c>
      <c r="C36" s="15" t="s">
        <v>130</v>
      </c>
      <c r="D36" s="14">
        <f>K36+M36+O36+Q36+30</f>
        <v>100</v>
      </c>
      <c r="E36" s="16">
        <v>1</v>
      </c>
      <c r="F36" s="16" t="s">
        <v>50</v>
      </c>
      <c r="G36" s="14">
        <v>15</v>
      </c>
      <c r="H36" s="15" t="s">
        <v>131</v>
      </c>
      <c r="I36" s="17">
        <v>1</v>
      </c>
      <c r="J36" s="15" t="s">
        <v>52</v>
      </c>
      <c r="K36" s="14">
        <v>35</v>
      </c>
      <c r="L36" s="15" t="s">
        <v>89</v>
      </c>
      <c r="M36" s="14">
        <v>20</v>
      </c>
      <c r="N36" s="15" t="s">
        <v>65</v>
      </c>
      <c r="O36" s="14">
        <v>5</v>
      </c>
      <c r="P36" s="15" t="s">
        <v>90</v>
      </c>
      <c r="Q36" s="14">
        <v>10</v>
      </c>
      <c r="R36" s="14" t="s">
        <v>91</v>
      </c>
      <c r="S36" s="14">
        <v>5</v>
      </c>
      <c r="T36" s="15" t="s">
        <v>87</v>
      </c>
      <c r="U36" s="14">
        <v>5</v>
      </c>
      <c r="V36" s="14" t="s">
        <v>72</v>
      </c>
      <c r="W36" s="14">
        <v>5</v>
      </c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>
        <f t="shared" si="0"/>
        <v>86</v>
      </c>
    </row>
    <row r="37" spans="1:48" ht="25.5" customHeight="1" x14ac:dyDescent="0.4">
      <c r="A37" s="14">
        <v>762</v>
      </c>
      <c r="B37" s="15" t="s">
        <v>150</v>
      </c>
      <c r="C37" s="15" t="s">
        <v>130</v>
      </c>
      <c r="D37" s="14">
        <f>K37+M37+O37+30</f>
        <v>95</v>
      </c>
      <c r="E37" s="16">
        <v>1</v>
      </c>
      <c r="F37" s="16" t="s">
        <v>50</v>
      </c>
      <c r="G37" s="14">
        <v>15</v>
      </c>
      <c r="H37" s="15" t="s">
        <v>131</v>
      </c>
      <c r="I37" s="17">
        <v>1</v>
      </c>
      <c r="J37" s="15" t="s">
        <v>70</v>
      </c>
      <c r="K37" s="14">
        <v>20</v>
      </c>
      <c r="L37" s="15" t="s">
        <v>93</v>
      </c>
      <c r="M37" s="14">
        <v>30</v>
      </c>
      <c r="N37" s="15" t="s">
        <v>147</v>
      </c>
      <c r="O37" s="14">
        <v>15</v>
      </c>
      <c r="P37" s="14" t="s">
        <v>72</v>
      </c>
      <c r="Q37" s="14">
        <v>3</v>
      </c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>
        <f t="shared" si="0"/>
        <v>69</v>
      </c>
    </row>
    <row r="38" spans="1:48" ht="25.5" customHeight="1" x14ac:dyDescent="0.4">
      <c r="A38" s="14">
        <v>761</v>
      </c>
      <c r="B38" s="15" t="s">
        <v>151</v>
      </c>
      <c r="C38" s="15" t="s">
        <v>130</v>
      </c>
      <c r="D38" s="14">
        <f>K38+M38+O38+30</f>
        <v>110</v>
      </c>
      <c r="E38" s="16">
        <v>1</v>
      </c>
      <c r="F38" s="16" t="s">
        <v>50</v>
      </c>
      <c r="G38" s="14">
        <v>15</v>
      </c>
      <c r="H38" s="15" t="s">
        <v>131</v>
      </c>
      <c r="I38" s="17">
        <v>1</v>
      </c>
      <c r="J38" s="15" t="s">
        <v>52</v>
      </c>
      <c r="K38" s="14">
        <v>30</v>
      </c>
      <c r="L38" s="15" t="s">
        <v>96</v>
      </c>
      <c r="M38" s="14">
        <v>25</v>
      </c>
      <c r="N38" s="15" t="s">
        <v>64</v>
      </c>
      <c r="O38" s="14">
        <v>25</v>
      </c>
      <c r="P38" s="14" t="s">
        <v>72</v>
      </c>
      <c r="Q38" s="14">
        <v>3</v>
      </c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>
        <f t="shared" si="0"/>
        <v>84</v>
      </c>
    </row>
    <row r="39" spans="1:48" ht="25.5" customHeight="1" x14ac:dyDescent="0.4">
      <c r="A39" s="14">
        <v>760</v>
      </c>
      <c r="B39" s="15" t="s">
        <v>152</v>
      </c>
      <c r="C39" s="15" t="s">
        <v>130</v>
      </c>
      <c r="D39" s="14">
        <f>K39+M39+O39+Q39+30</f>
        <v>92</v>
      </c>
      <c r="E39" s="16">
        <v>1</v>
      </c>
      <c r="F39" s="16" t="s">
        <v>50</v>
      </c>
      <c r="G39" s="14">
        <v>15</v>
      </c>
      <c r="H39" s="15" t="s">
        <v>131</v>
      </c>
      <c r="I39" s="17">
        <v>1</v>
      </c>
      <c r="J39" s="15" t="s">
        <v>52</v>
      </c>
      <c r="K39" s="14">
        <v>20</v>
      </c>
      <c r="L39" s="15" t="s">
        <v>98</v>
      </c>
      <c r="M39" s="14">
        <v>15</v>
      </c>
      <c r="N39" s="15" t="s">
        <v>96</v>
      </c>
      <c r="O39" s="14">
        <v>12</v>
      </c>
      <c r="P39" s="14" t="s">
        <v>64</v>
      </c>
      <c r="Q39" s="14">
        <v>15</v>
      </c>
      <c r="R39" s="14" t="s">
        <v>72</v>
      </c>
      <c r="S39" s="14">
        <v>3</v>
      </c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>
        <f t="shared" si="0"/>
        <v>66</v>
      </c>
    </row>
    <row r="40" spans="1:48" ht="25.5" customHeight="1" x14ac:dyDescent="0.4">
      <c r="A40" s="14">
        <v>759</v>
      </c>
      <c r="B40" s="15" t="s">
        <v>153</v>
      </c>
      <c r="C40" s="15" t="s">
        <v>130</v>
      </c>
      <c r="D40" s="14">
        <f>K40+M40+O40+30</f>
        <v>95</v>
      </c>
      <c r="E40" s="16">
        <v>1</v>
      </c>
      <c r="F40" s="16" t="s">
        <v>50</v>
      </c>
      <c r="G40" s="14">
        <v>15</v>
      </c>
      <c r="H40" s="15" t="s">
        <v>131</v>
      </c>
      <c r="I40" s="17">
        <v>1</v>
      </c>
      <c r="J40" s="15" t="s">
        <v>154</v>
      </c>
      <c r="K40" s="14">
        <v>20</v>
      </c>
      <c r="L40" s="15" t="s">
        <v>98</v>
      </c>
      <c r="M40" s="14">
        <v>30</v>
      </c>
      <c r="N40" s="15" t="s">
        <v>100</v>
      </c>
      <c r="O40" s="14">
        <v>15</v>
      </c>
      <c r="P40" s="14" t="s">
        <v>72</v>
      </c>
      <c r="Q40" s="14">
        <v>3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>
        <f t="shared" si="0"/>
        <v>69</v>
      </c>
    </row>
    <row r="41" spans="1:48" ht="25.5" customHeight="1" x14ac:dyDescent="0.4">
      <c r="A41" s="14">
        <v>758</v>
      </c>
      <c r="B41" s="19" t="s">
        <v>155</v>
      </c>
      <c r="C41" s="19" t="s">
        <v>118</v>
      </c>
      <c r="D41" s="20">
        <f>M41+O41+Q41+S41+U41+W41+Y41</f>
        <v>60</v>
      </c>
      <c r="E41" s="21">
        <v>1</v>
      </c>
      <c r="F41" s="21" t="s">
        <v>50</v>
      </c>
      <c r="G41" s="20">
        <v>11</v>
      </c>
      <c r="H41" s="19"/>
      <c r="I41" s="22"/>
      <c r="J41" s="19"/>
      <c r="K41" s="20"/>
      <c r="L41" s="19" t="s">
        <v>156</v>
      </c>
      <c r="M41" s="20">
        <v>10</v>
      </c>
      <c r="N41" s="19" t="s">
        <v>143</v>
      </c>
      <c r="O41" s="20">
        <v>20</v>
      </c>
      <c r="P41" s="19" t="s">
        <v>157</v>
      </c>
      <c r="Q41" s="20">
        <v>10</v>
      </c>
      <c r="R41" s="20" t="s">
        <v>158</v>
      </c>
      <c r="S41" s="20">
        <v>5</v>
      </c>
      <c r="T41" s="19" t="s">
        <v>159</v>
      </c>
      <c r="U41" s="20">
        <v>3</v>
      </c>
      <c r="V41" s="20" t="s">
        <v>160</v>
      </c>
      <c r="W41" s="20">
        <v>5</v>
      </c>
      <c r="X41" s="20" t="s">
        <v>123</v>
      </c>
      <c r="Y41" s="20">
        <v>7</v>
      </c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>
        <f t="shared" si="0"/>
        <v>60</v>
      </c>
    </row>
    <row r="42" spans="1:48" ht="25.5" customHeight="1" x14ac:dyDescent="0.4">
      <c r="A42" s="11">
        <v>757</v>
      </c>
      <c r="B42" s="1" t="s">
        <v>161</v>
      </c>
      <c r="C42" s="1" t="s">
        <v>162</v>
      </c>
      <c r="D42" s="11">
        <f>K42+11</f>
        <v>31</v>
      </c>
      <c r="E42" s="12">
        <v>1</v>
      </c>
      <c r="F42" s="12" t="s">
        <v>50</v>
      </c>
      <c r="G42" s="11">
        <v>33</v>
      </c>
      <c r="H42" s="1" t="s">
        <v>163</v>
      </c>
      <c r="I42" s="13">
        <v>1</v>
      </c>
      <c r="J42" s="1" t="s">
        <v>164</v>
      </c>
      <c r="K42" s="11">
        <v>20</v>
      </c>
      <c r="L42" s="1"/>
      <c r="M42" s="11"/>
      <c r="N42" s="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5">
        <f t="shared" si="0"/>
        <v>21</v>
      </c>
    </row>
    <row r="43" spans="1:48" ht="25.5" customHeight="1" x14ac:dyDescent="0.4">
      <c r="A43" s="11">
        <v>756</v>
      </c>
      <c r="B43" s="1" t="s">
        <v>165</v>
      </c>
      <c r="C43" s="1" t="s">
        <v>162</v>
      </c>
      <c r="D43" s="11">
        <f>K43+11</f>
        <v>31</v>
      </c>
      <c r="E43" s="12">
        <v>1</v>
      </c>
      <c r="F43" s="12" t="s">
        <v>50</v>
      </c>
      <c r="G43" s="11">
        <v>33</v>
      </c>
      <c r="H43" s="1" t="s">
        <v>163</v>
      </c>
      <c r="I43" s="13">
        <v>1</v>
      </c>
      <c r="J43" s="1" t="s">
        <v>166</v>
      </c>
      <c r="K43" s="11">
        <v>20</v>
      </c>
      <c r="L43" s="1" t="s">
        <v>167</v>
      </c>
      <c r="M43" s="11">
        <v>3</v>
      </c>
      <c r="N43" s="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5">
        <f t="shared" si="0"/>
        <v>24</v>
      </c>
    </row>
    <row r="44" spans="1:48" ht="25.5" customHeight="1" x14ac:dyDescent="0.4">
      <c r="A44" s="11">
        <v>755</v>
      </c>
      <c r="B44" s="1" t="s">
        <v>168</v>
      </c>
      <c r="C44" s="1" t="s">
        <v>162</v>
      </c>
      <c r="D44" s="11">
        <f>K44+11</f>
        <v>31</v>
      </c>
      <c r="E44" s="12">
        <v>1</v>
      </c>
      <c r="F44" s="12" t="s">
        <v>50</v>
      </c>
      <c r="G44" s="11">
        <v>33</v>
      </c>
      <c r="H44" s="1" t="s">
        <v>163</v>
      </c>
      <c r="I44" s="13">
        <v>1</v>
      </c>
      <c r="J44" s="1" t="s">
        <v>169</v>
      </c>
      <c r="K44" s="11">
        <v>20</v>
      </c>
      <c r="L44" s="1" t="s">
        <v>170</v>
      </c>
      <c r="M44" s="11">
        <v>3</v>
      </c>
      <c r="N44" s="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5">
        <f t="shared" si="0"/>
        <v>24</v>
      </c>
    </row>
    <row r="45" spans="1:48" ht="25.5" customHeight="1" x14ac:dyDescent="0.4">
      <c r="A45" s="6">
        <v>754</v>
      </c>
      <c r="B45" s="23" t="s">
        <v>171</v>
      </c>
      <c r="C45" s="23" t="s">
        <v>125</v>
      </c>
      <c r="D45" s="6">
        <f>K45+M45+O45+10</f>
        <v>27</v>
      </c>
      <c r="E45" s="24">
        <v>1</v>
      </c>
      <c r="F45" s="24" t="s">
        <v>50</v>
      </c>
      <c r="G45" s="6">
        <v>30</v>
      </c>
      <c r="H45" s="7" t="s">
        <v>126</v>
      </c>
      <c r="I45" s="25">
        <v>0.1</v>
      </c>
      <c r="J45" s="23"/>
      <c r="K45" s="6"/>
      <c r="L45" s="23" t="s">
        <v>74</v>
      </c>
      <c r="M45" s="6">
        <v>10</v>
      </c>
      <c r="N45" s="23" t="s">
        <v>75</v>
      </c>
      <c r="O45" s="6">
        <v>7</v>
      </c>
      <c r="P45" s="6" t="s">
        <v>64</v>
      </c>
      <c r="Q45" s="6">
        <v>8</v>
      </c>
      <c r="R45" s="6" t="s">
        <v>172</v>
      </c>
      <c r="S45" s="6">
        <v>5</v>
      </c>
      <c r="T45" s="6" t="s">
        <v>173</v>
      </c>
      <c r="U45" s="6">
        <v>5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>
        <f t="shared" si="0"/>
        <v>35.1</v>
      </c>
    </row>
    <row r="46" spans="1:48" ht="25.5" customHeight="1" x14ac:dyDescent="0.4">
      <c r="A46" s="14">
        <v>753</v>
      </c>
      <c r="B46" s="19" t="s">
        <v>174</v>
      </c>
      <c r="C46" s="19" t="s">
        <v>68</v>
      </c>
      <c r="D46" s="14">
        <f>K46+M46+O46+60</f>
        <v>135</v>
      </c>
      <c r="E46" s="21">
        <v>1</v>
      </c>
      <c r="F46" s="21" t="s">
        <v>50</v>
      </c>
      <c r="G46" s="20">
        <v>12</v>
      </c>
      <c r="H46" s="19" t="s">
        <v>175</v>
      </c>
      <c r="I46" s="22">
        <v>1</v>
      </c>
      <c r="J46" s="19" t="s">
        <v>78</v>
      </c>
      <c r="K46" s="20">
        <v>25</v>
      </c>
      <c r="L46" s="19" t="s">
        <v>79</v>
      </c>
      <c r="M46" s="20">
        <v>30</v>
      </c>
      <c r="N46" s="19" t="s">
        <v>80</v>
      </c>
      <c r="O46" s="20">
        <v>20</v>
      </c>
      <c r="P46" s="20" t="s">
        <v>72</v>
      </c>
      <c r="Q46" s="20">
        <v>3</v>
      </c>
      <c r="R46" s="20" t="s">
        <v>87</v>
      </c>
      <c r="S46" s="20"/>
      <c r="T46" s="20"/>
      <c r="U46" s="20"/>
      <c r="V46" s="20"/>
      <c r="W46" s="20"/>
      <c r="X46" s="20"/>
      <c r="Y46" s="20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>
        <f t="shared" si="0"/>
        <v>79</v>
      </c>
    </row>
    <row r="47" spans="1:48" ht="25.5" customHeight="1" x14ac:dyDescent="0.4">
      <c r="A47" s="14">
        <v>752</v>
      </c>
      <c r="B47" s="19" t="s">
        <v>176</v>
      </c>
      <c r="C47" s="15" t="s">
        <v>68</v>
      </c>
      <c r="D47" s="14">
        <f>K47+M47+O47+Q47+60</f>
        <v>130</v>
      </c>
      <c r="E47" s="16">
        <v>1</v>
      </c>
      <c r="F47" s="16" t="s">
        <v>50</v>
      </c>
      <c r="G47" s="14">
        <v>12</v>
      </c>
      <c r="H47" s="15" t="s">
        <v>175</v>
      </c>
      <c r="I47" s="17">
        <v>1</v>
      </c>
      <c r="J47" s="15"/>
      <c r="K47" s="14"/>
      <c r="L47" s="15" t="s">
        <v>82</v>
      </c>
      <c r="M47" s="14">
        <v>20</v>
      </c>
      <c r="N47" s="15" t="s">
        <v>83</v>
      </c>
      <c r="O47" s="14">
        <v>30</v>
      </c>
      <c r="P47" s="14" t="s">
        <v>84</v>
      </c>
      <c r="Q47" s="14">
        <v>20</v>
      </c>
      <c r="R47" s="14" t="s">
        <v>72</v>
      </c>
      <c r="S47" s="14">
        <v>3</v>
      </c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>
        <f t="shared" si="0"/>
        <v>74</v>
      </c>
    </row>
    <row r="48" spans="1:48" ht="25.5" customHeight="1" x14ac:dyDescent="0.4">
      <c r="A48" s="14">
        <v>751</v>
      </c>
      <c r="B48" s="15" t="s">
        <v>177</v>
      </c>
      <c r="C48" s="15" t="s">
        <v>68</v>
      </c>
      <c r="D48" s="14">
        <f>K48+M48+O48+60</f>
        <v>130</v>
      </c>
      <c r="E48" s="16">
        <v>1</v>
      </c>
      <c r="F48" s="16" t="s">
        <v>50</v>
      </c>
      <c r="G48" s="14">
        <v>12</v>
      </c>
      <c r="H48" s="15" t="s">
        <v>175</v>
      </c>
      <c r="I48" s="17">
        <v>1</v>
      </c>
      <c r="J48" s="15" t="s">
        <v>86</v>
      </c>
      <c r="K48" s="14">
        <v>25</v>
      </c>
      <c r="L48" s="15" t="s">
        <v>53</v>
      </c>
      <c r="M48" s="14">
        <v>30</v>
      </c>
      <c r="N48" s="15" t="s">
        <v>55</v>
      </c>
      <c r="O48" s="14">
        <v>15</v>
      </c>
      <c r="P48" s="14" t="s">
        <v>87</v>
      </c>
      <c r="Q48" s="14">
        <v>3</v>
      </c>
      <c r="R48" s="14" t="s">
        <v>72</v>
      </c>
      <c r="S48" s="14">
        <v>3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>
        <f t="shared" si="0"/>
        <v>77</v>
      </c>
    </row>
    <row r="49" spans="1:48" ht="25.5" customHeight="1" x14ac:dyDescent="0.4">
      <c r="A49" s="14">
        <v>750</v>
      </c>
      <c r="B49" s="15" t="s">
        <v>178</v>
      </c>
      <c r="C49" s="15" t="s">
        <v>68</v>
      </c>
      <c r="D49" s="14">
        <f>K49+M49+O49+60</f>
        <v>135</v>
      </c>
      <c r="E49" s="16">
        <v>1</v>
      </c>
      <c r="F49" s="16" t="s">
        <v>50</v>
      </c>
      <c r="G49" s="14">
        <v>12</v>
      </c>
      <c r="H49" s="15" t="s">
        <v>175</v>
      </c>
      <c r="I49" s="17">
        <v>1</v>
      </c>
      <c r="J49" s="15" t="s">
        <v>70</v>
      </c>
      <c r="K49" s="14">
        <v>30</v>
      </c>
      <c r="L49" s="15" t="s">
        <v>93</v>
      </c>
      <c r="M49" s="14">
        <v>30</v>
      </c>
      <c r="N49" s="15" t="s">
        <v>147</v>
      </c>
      <c r="O49" s="14">
        <v>15</v>
      </c>
      <c r="P49" s="14" t="s">
        <v>72</v>
      </c>
      <c r="Q49" s="14">
        <v>3</v>
      </c>
      <c r="R49" s="14" t="s">
        <v>179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>
        <f t="shared" si="0"/>
        <v>79</v>
      </c>
    </row>
    <row r="50" spans="1:48" ht="25.5" customHeight="1" x14ac:dyDescent="0.4">
      <c r="A50" s="14">
        <v>749</v>
      </c>
      <c r="B50" s="15" t="s">
        <v>180</v>
      </c>
      <c r="C50" s="15" t="s">
        <v>68</v>
      </c>
      <c r="D50" s="14">
        <f>K50+M50+O50+60</f>
        <v>140</v>
      </c>
      <c r="E50" s="16">
        <v>1</v>
      </c>
      <c r="F50" s="16" t="s">
        <v>50</v>
      </c>
      <c r="G50" s="14">
        <v>12</v>
      </c>
      <c r="H50" s="15" t="s">
        <v>175</v>
      </c>
      <c r="I50" s="17">
        <v>1</v>
      </c>
      <c r="J50" s="15" t="s">
        <v>52</v>
      </c>
      <c r="K50" s="14">
        <v>30</v>
      </c>
      <c r="L50" s="15" t="s">
        <v>96</v>
      </c>
      <c r="M50" s="14">
        <v>30</v>
      </c>
      <c r="N50" s="15" t="s">
        <v>64</v>
      </c>
      <c r="O50" s="14">
        <v>20</v>
      </c>
      <c r="P50" s="14" t="s">
        <v>66</v>
      </c>
      <c r="Q50" s="14">
        <v>10</v>
      </c>
      <c r="R50" s="14" t="s">
        <v>72</v>
      </c>
      <c r="S50" s="14">
        <v>3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>
        <f t="shared" si="0"/>
        <v>94</v>
      </c>
    </row>
    <row r="51" spans="1:48" ht="25.5" customHeight="1" x14ac:dyDescent="0.4">
      <c r="A51" s="14">
        <v>748</v>
      </c>
      <c r="B51" s="15" t="s">
        <v>181</v>
      </c>
      <c r="C51" s="15" t="s">
        <v>68</v>
      </c>
      <c r="D51" s="14">
        <f>K51+M51+O51+Q51+60</f>
        <v>150</v>
      </c>
      <c r="E51" s="16">
        <v>1</v>
      </c>
      <c r="F51" s="16" t="s">
        <v>50</v>
      </c>
      <c r="G51" s="14">
        <v>12</v>
      </c>
      <c r="H51" s="15" t="s">
        <v>175</v>
      </c>
      <c r="I51" s="17">
        <v>1</v>
      </c>
      <c r="J51" s="15" t="s">
        <v>52</v>
      </c>
      <c r="K51" s="14">
        <v>30</v>
      </c>
      <c r="L51" s="15" t="s">
        <v>96</v>
      </c>
      <c r="M51" s="14">
        <v>15</v>
      </c>
      <c r="N51" s="15" t="s">
        <v>98</v>
      </c>
      <c r="O51" s="14">
        <v>30</v>
      </c>
      <c r="P51" s="15" t="s">
        <v>90</v>
      </c>
      <c r="Q51" s="14">
        <v>15</v>
      </c>
      <c r="R51" s="14" t="s">
        <v>72</v>
      </c>
      <c r="S51" s="14">
        <v>3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>
        <f t="shared" si="0"/>
        <v>94</v>
      </c>
    </row>
    <row r="52" spans="1:48" ht="25.5" customHeight="1" x14ac:dyDescent="0.4">
      <c r="A52" s="14">
        <v>747</v>
      </c>
      <c r="B52" s="15" t="s">
        <v>182</v>
      </c>
      <c r="C52" s="15" t="s">
        <v>68</v>
      </c>
      <c r="D52" s="14">
        <f>K52+M52+O52+60</f>
        <v>135</v>
      </c>
      <c r="E52" s="16">
        <v>1</v>
      </c>
      <c r="F52" s="16" t="s">
        <v>50</v>
      </c>
      <c r="G52" s="14">
        <v>12</v>
      </c>
      <c r="H52" s="15" t="s">
        <v>175</v>
      </c>
      <c r="I52" s="17">
        <v>1</v>
      </c>
      <c r="J52" s="15" t="s">
        <v>154</v>
      </c>
      <c r="K52" s="14">
        <v>30</v>
      </c>
      <c r="L52" s="15" t="s">
        <v>98</v>
      </c>
      <c r="M52" s="14">
        <v>30</v>
      </c>
      <c r="N52" s="15" t="s">
        <v>100</v>
      </c>
      <c r="O52" s="14">
        <v>15</v>
      </c>
      <c r="P52" s="14" t="s">
        <v>72</v>
      </c>
      <c r="Q52" s="14">
        <v>3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>
        <f t="shared" si="0"/>
        <v>79</v>
      </c>
    </row>
    <row r="53" spans="1:48" ht="25.5" customHeight="1" x14ac:dyDescent="0.4">
      <c r="A53" s="14">
        <v>746</v>
      </c>
      <c r="B53" s="19" t="s">
        <v>183</v>
      </c>
      <c r="C53" s="15" t="s">
        <v>68</v>
      </c>
      <c r="D53" s="14">
        <f>M53+O53+Q53+S53+U53+60</f>
        <v>125</v>
      </c>
      <c r="E53" s="16">
        <v>1</v>
      </c>
      <c r="F53" s="16" t="s">
        <v>50</v>
      </c>
      <c r="G53" s="14">
        <v>9</v>
      </c>
      <c r="H53" s="15" t="s">
        <v>175</v>
      </c>
      <c r="I53" s="17">
        <v>1</v>
      </c>
      <c r="J53" s="15"/>
      <c r="K53" s="14"/>
      <c r="L53" s="15" t="s">
        <v>74</v>
      </c>
      <c r="M53" s="14">
        <v>20</v>
      </c>
      <c r="N53" s="15" t="s">
        <v>106</v>
      </c>
      <c r="O53" s="14">
        <v>10</v>
      </c>
      <c r="P53" s="14" t="s">
        <v>107</v>
      </c>
      <c r="Q53" s="14">
        <v>10</v>
      </c>
      <c r="R53" s="14" t="s">
        <v>55</v>
      </c>
      <c r="S53" s="14">
        <v>10</v>
      </c>
      <c r="T53" s="14" t="s">
        <v>108</v>
      </c>
      <c r="U53" s="14">
        <v>15</v>
      </c>
      <c r="V53" s="14" t="s">
        <v>76</v>
      </c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>
        <f t="shared" si="0"/>
        <v>66</v>
      </c>
    </row>
    <row r="54" spans="1:48" ht="25.5" customHeight="1" x14ac:dyDescent="0.4">
      <c r="A54" s="14">
        <v>745</v>
      </c>
      <c r="B54" s="19" t="s">
        <v>184</v>
      </c>
      <c r="C54" s="19" t="s">
        <v>118</v>
      </c>
      <c r="D54" s="20">
        <f>M54+O54+Q54+S54+U54</f>
        <v>1000</v>
      </c>
      <c r="E54" s="21">
        <v>1</v>
      </c>
      <c r="F54" s="21" t="s">
        <v>50</v>
      </c>
      <c r="G54" s="20"/>
      <c r="H54" s="19"/>
      <c r="I54" s="22"/>
      <c r="J54" s="19"/>
      <c r="K54" s="20"/>
      <c r="L54" s="19" t="s">
        <v>185</v>
      </c>
      <c r="M54" s="20">
        <v>600</v>
      </c>
      <c r="N54" s="19" t="s">
        <v>84</v>
      </c>
      <c r="O54" s="20">
        <v>100</v>
      </c>
      <c r="P54" s="20" t="s">
        <v>55</v>
      </c>
      <c r="Q54" s="20">
        <v>100</v>
      </c>
      <c r="R54" s="20" t="s">
        <v>100</v>
      </c>
      <c r="S54" s="20">
        <v>150</v>
      </c>
      <c r="T54" s="20" t="s">
        <v>74</v>
      </c>
      <c r="U54" s="20">
        <v>50</v>
      </c>
      <c r="V54" s="20" t="s">
        <v>56</v>
      </c>
      <c r="W54" s="20"/>
      <c r="X54" s="20" t="s">
        <v>186</v>
      </c>
      <c r="Y54" s="20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>
        <f t="shared" si="0"/>
        <v>1000</v>
      </c>
    </row>
    <row r="55" spans="1:48" ht="25.5" customHeight="1" x14ac:dyDescent="0.4">
      <c r="A55" s="14">
        <v>740</v>
      </c>
      <c r="B55" s="15" t="s">
        <v>187</v>
      </c>
      <c r="C55" s="15" t="s">
        <v>118</v>
      </c>
      <c r="D55" s="26">
        <v>60</v>
      </c>
      <c r="E55" s="16">
        <v>1</v>
      </c>
      <c r="F55" s="16" t="s">
        <v>50</v>
      </c>
      <c r="G55" s="26"/>
      <c r="H55" s="15"/>
      <c r="I55" s="27"/>
      <c r="J55" s="15"/>
      <c r="K55" s="26"/>
      <c r="L55" s="15" t="s">
        <v>185</v>
      </c>
      <c r="M55" s="26">
        <v>60</v>
      </c>
      <c r="N55" s="15" t="s">
        <v>84</v>
      </c>
      <c r="O55" s="26">
        <v>10</v>
      </c>
      <c r="P55" s="15" t="s">
        <v>55</v>
      </c>
      <c r="Q55" s="26">
        <v>10</v>
      </c>
      <c r="R55" s="26" t="s">
        <v>100</v>
      </c>
      <c r="S55" s="26">
        <v>10</v>
      </c>
      <c r="T55" s="15" t="s">
        <v>74</v>
      </c>
      <c r="U55" s="26">
        <v>10</v>
      </c>
      <c r="V55" s="26" t="s">
        <v>56</v>
      </c>
      <c r="W55" s="26"/>
      <c r="X55" s="26" t="s">
        <v>186</v>
      </c>
      <c r="Y55" s="26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>
        <f t="shared" si="0"/>
        <v>100</v>
      </c>
    </row>
    <row r="56" spans="1:48" ht="12.75" customHeight="1" x14ac:dyDescent="0.4">
      <c r="A56" s="11">
        <v>739</v>
      </c>
      <c r="B56" s="1" t="s">
        <v>188</v>
      </c>
      <c r="C56" s="1" t="s">
        <v>59</v>
      </c>
      <c r="D56" s="11">
        <v>1</v>
      </c>
      <c r="E56" s="12">
        <v>1</v>
      </c>
      <c r="F56" s="12" t="s">
        <v>50</v>
      </c>
      <c r="G56" s="11"/>
      <c r="H56" s="1" t="s">
        <v>188</v>
      </c>
      <c r="I56" s="13">
        <v>1</v>
      </c>
      <c r="J56" s="1"/>
      <c r="K56" s="11"/>
      <c r="M56" s="11"/>
      <c r="N56" s="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5">
        <f t="shared" si="0"/>
        <v>1</v>
      </c>
    </row>
    <row r="57" spans="1:48" ht="12.75" customHeight="1" x14ac:dyDescent="0.4">
      <c r="A57" s="11">
        <v>738</v>
      </c>
      <c r="B57" s="1" t="s">
        <v>189</v>
      </c>
      <c r="C57" s="1" t="s">
        <v>59</v>
      </c>
      <c r="D57" s="11">
        <v>1</v>
      </c>
      <c r="E57" s="12">
        <v>1</v>
      </c>
      <c r="F57" s="12" t="s">
        <v>50</v>
      </c>
      <c r="G57" s="11"/>
      <c r="H57" s="1" t="s">
        <v>189</v>
      </c>
      <c r="I57" s="13">
        <v>1</v>
      </c>
      <c r="J57" s="1"/>
      <c r="K57" s="11"/>
      <c r="M57" s="11"/>
      <c r="N57" s="1"/>
      <c r="O57" s="11"/>
      <c r="P57" s="1"/>
      <c r="Q57" s="11"/>
      <c r="R57" s="11"/>
      <c r="S57" s="11"/>
      <c r="T57" s="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5">
        <f t="shared" si="0"/>
        <v>1</v>
      </c>
    </row>
    <row r="58" spans="1:48" ht="25.5" customHeight="1" x14ac:dyDescent="0.4">
      <c r="A58" s="6">
        <v>737</v>
      </c>
      <c r="B58" s="23" t="s">
        <v>190</v>
      </c>
      <c r="C58" s="23" t="s">
        <v>125</v>
      </c>
      <c r="D58" s="6">
        <f>K58+M58+O58+10</f>
        <v>30</v>
      </c>
      <c r="E58" s="24">
        <v>1</v>
      </c>
      <c r="F58" s="24" t="s">
        <v>50</v>
      </c>
      <c r="G58" s="6">
        <v>30</v>
      </c>
      <c r="H58" s="7" t="s">
        <v>126</v>
      </c>
      <c r="I58" s="25">
        <v>0.1</v>
      </c>
      <c r="J58" s="23"/>
      <c r="K58" s="6"/>
      <c r="M58" s="6">
        <v>15</v>
      </c>
      <c r="N58" s="23" t="s">
        <v>120</v>
      </c>
      <c r="O58" s="6">
        <v>5</v>
      </c>
      <c r="P58" s="6" t="s">
        <v>123</v>
      </c>
      <c r="Q58" s="6">
        <v>3</v>
      </c>
      <c r="R58" s="6" t="s">
        <v>65</v>
      </c>
      <c r="S58" s="6">
        <v>5</v>
      </c>
      <c r="T58" s="6" t="s">
        <v>66</v>
      </c>
      <c r="U58" s="6">
        <v>5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>
        <f t="shared" si="0"/>
        <v>33.1</v>
      </c>
    </row>
    <row r="59" spans="1:48" ht="12.75" customHeight="1" x14ac:dyDescent="0.4">
      <c r="A59" s="14">
        <v>736</v>
      </c>
      <c r="B59" s="19" t="s">
        <v>191</v>
      </c>
      <c r="C59" s="19" t="s">
        <v>118</v>
      </c>
      <c r="D59" s="28">
        <f>M59+O59+Q59+S59+U59+W59+Y59</f>
        <v>1000</v>
      </c>
      <c r="E59" s="21">
        <v>1</v>
      </c>
      <c r="F59" s="21" t="s">
        <v>50</v>
      </c>
      <c r="G59" s="20">
        <v>1</v>
      </c>
      <c r="H59" s="19"/>
      <c r="I59" s="22"/>
      <c r="J59" s="19"/>
      <c r="K59" s="20"/>
      <c r="L59" s="23" t="s">
        <v>192</v>
      </c>
      <c r="M59" s="20">
        <v>630</v>
      </c>
      <c r="N59" s="19" t="s">
        <v>107</v>
      </c>
      <c r="O59" s="28">
        <v>62.5</v>
      </c>
      <c r="P59" s="20" t="s">
        <v>106</v>
      </c>
      <c r="Q59" s="28">
        <v>62.5</v>
      </c>
      <c r="R59" s="20" t="s">
        <v>55</v>
      </c>
      <c r="S59" s="20">
        <v>120</v>
      </c>
      <c r="T59" s="19" t="s">
        <v>84</v>
      </c>
      <c r="U59" s="20">
        <v>125</v>
      </c>
      <c r="V59" s="20" t="s">
        <v>193</v>
      </c>
      <c r="W59" s="20"/>
      <c r="X59" s="20" t="s">
        <v>194</v>
      </c>
      <c r="Y59" s="20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>
        <f t="shared" si="0"/>
        <v>1000</v>
      </c>
    </row>
    <row r="60" spans="1:48" ht="12.75" customHeight="1" x14ac:dyDescent="0.4">
      <c r="A60" s="14">
        <v>733</v>
      </c>
      <c r="B60" s="19" t="s">
        <v>195</v>
      </c>
      <c r="C60" s="19" t="s">
        <v>118</v>
      </c>
      <c r="D60" s="20">
        <f>M60+O60+Q60+S60+U60</f>
        <v>80</v>
      </c>
      <c r="E60" s="21">
        <v>1</v>
      </c>
      <c r="F60" s="21" t="s">
        <v>50</v>
      </c>
      <c r="G60" s="20">
        <v>11</v>
      </c>
      <c r="H60" s="19"/>
      <c r="I60" s="22"/>
      <c r="J60" s="19"/>
      <c r="K60" s="20"/>
      <c r="L60" s="19" t="s">
        <v>196</v>
      </c>
      <c r="M60" s="20">
        <v>50</v>
      </c>
      <c r="N60" s="19" t="s">
        <v>107</v>
      </c>
      <c r="O60" s="20">
        <v>5</v>
      </c>
      <c r="P60" s="20" t="s">
        <v>106</v>
      </c>
      <c r="Q60" s="20">
        <v>5</v>
      </c>
      <c r="R60" s="20" t="s">
        <v>55</v>
      </c>
      <c r="S60" s="20">
        <v>10</v>
      </c>
      <c r="T60" s="19" t="s">
        <v>84</v>
      </c>
      <c r="U60" s="20">
        <v>10</v>
      </c>
      <c r="V60" s="20" t="s">
        <v>193</v>
      </c>
      <c r="W60" s="20"/>
      <c r="X60" s="20" t="s">
        <v>194</v>
      </c>
      <c r="Y60" s="20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>
        <f t="shared" si="0"/>
        <v>80</v>
      </c>
    </row>
    <row r="61" spans="1:48" ht="25.5" customHeight="1" x14ac:dyDescent="0.4">
      <c r="A61" s="14">
        <v>732</v>
      </c>
      <c r="B61" s="15" t="s">
        <v>197</v>
      </c>
      <c r="C61" s="15" t="s">
        <v>68</v>
      </c>
      <c r="D61" s="14">
        <f>M61+O61+Q61+65</f>
        <v>155</v>
      </c>
      <c r="E61" s="16">
        <v>1</v>
      </c>
      <c r="F61" s="16" t="s">
        <v>50</v>
      </c>
      <c r="G61" s="14">
        <v>9</v>
      </c>
      <c r="H61" s="15" t="s">
        <v>198</v>
      </c>
      <c r="I61" s="17">
        <v>1</v>
      </c>
      <c r="J61" s="15"/>
      <c r="K61" s="14"/>
      <c r="L61" s="19" t="s">
        <v>196</v>
      </c>
      <c r="M61" s="14">
        <v>20</v>
      </c>
      <c r="N61" s="15" t="s">
        <v>75</v>
      </c>
      <c r="O61" s="14">
        <v>40</v>
      </c>
      <c r="P61" s="14" t="s">
        <v>64</v>
      </c>
      <c r="Q61" s="14">
        <v>30</v>
      </c>
      <c r="R61" s="14" t="s">
        <v>76</v>
      </c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>
        <f t="shared" si="0"/>
        <v>91</v>
      </c>
    </row>
    <row r="62" spans="1:48" ht="25.5" customHeight="1" x14ac:dyDescent="0.4">
      <c r="A62" s="11">
        <v>731</v>
      </c>
      <c r="B62" s="29" t="s">
        <v>199</v>
      </c>
      <c r="C62" s="1" t="s">
        <v>162</v>
      </c>
      <c r="D62" s="11">
        <f>K62+M62+65</f>
        <v>155</v>
      </c>
      <c r="E62" s="12">
        <v>1</v>
      </c>
      <c r="F62" s="12" t="s">
        <v>50</v>
      </c>
      <c r="G62" s="11">
        <v>9</v>
      </c>
      <c r="H62" s="1" t="s">
        <v>198</v>
      </c>
      <c r="I62" s="13">
        <v>1</v>
      </c>
      <c r="J62" s="1" t="s">
        <v>200</v>
      </c>
      <c r="K62" s="11">
        <v>85</v>
      </c>
      <c r="L62" s="15" t="s">
        <v>74</v>
      </c>
      <c r="M62" s="11">
        <v>5</v>
      </c>
      <c r="N62" s="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5">
        <f t="shared" si="0"/>
        <v>91</v>
      </c>
    </row>
    <row r="63" spans="1:48" ht="25.5" customHeight="1" x14ac:dyDescent="0.4">
      <c r="A63" s="11">
        <v>730</v>
      </c>
      <c r="B63" s="29" t="s">
        <v>201</v>
      </c>
      <c r="C63" s="1" t="s">
        <v>162</v>
      </c>
      <c r="D63" s="11">
        <f>K63+M63+65</f>
        <v>155</v>
      </c>
      <c r="E63" s="12">
        <v>1</v>
      </c>
      <c r="F63" s="12" t="s">
        <v>50</v>
      </c>
      <c r="G63" s="11">
        <v>9</v>
      </c>
      <c r="H63" s="1" t="s">
        <v>198</v>
      </c>
      <c r="I63" s="13">
        <v>1</v>
      </c>
      <c r="J63" s="1" t="s">
        <v>202</v>
      </c>
      <c r="K63" s="11">
        <v>85</v>
      </c>
      <c r="L63" s="1" t="s">
        <v>203</v>
      </c>
      <c r="M63" s="11">
        <v>5</v>
      </c>
      <c r="N63" s="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5">
        <f t="shared" si="0"/>
        <v>91</v>
      </c>
    </row>
    <row r="64" spans="1:48" ht="25.5" customHeight="1" x14ac:dyDescent="0.4">
      <c r="A64" s="11">
        <v>729</v>
      </c>
      <c r="B64" s="29" t="s">
        <v>204</v>
      </c>
      <c r="C64" s="1" t="s">
        <v>162</v>
      </c>
      <c r="D64" s="11">
        <f>K64+M64+65</f>
        <v>155</v>
      </c>
      <c r="E64" s="12">
        <v>1</v>
      </c>
      <c r="F64" s="12" t="s">
        <v>50</v>
      </c>
      <c r="G64" s="11">
        <v>9</v>
      </c>
      <c r="H64" s="1" t="s">
        <v>198</v>
      </c>
      <c r="I64" s="13">
        <v>1</v>
      </c>
      <c r="J64" s="1" t="s">
        <v>169</v>
      </c>
      <c r="K64" s="11">
        <v>85</v>
      </c>
      <c r="L64" s="1" t="s">
        <v>205</v>
      </c>
      <c r="M64" s="11">
        <v>5</v>
      </c>
      <c r="N64" s="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5">
        <f t="shared" si="0"/>
        <v>91</v>
      </c>
    </row>
    <row r="65" spans="1:55" ht="25.5" customHeight="1" x14ac:dyDescent="0.4">
      <c r="A65" s="6">
        <v>728</v>
      </c>
      <c r="B65" s="23" t="s">
        <v>206</v>
      </c>
      <c r="C65" s="23" t="s">
        <v>68</v>
      </c>
      <c r="D65" s="6">
        <f>M65+O65+65</f>
        <v>140</v>
      </c>
      <c r="E65" s="24">
        <v>1</v>
      </c>
      <c r="F65" s="24" t="s">
        <v>50</v>
      </c>
      <c r="G65" s="6">
        <v>9</v>
      </c>
      <c r="H65" s="23" t="s">
        <v>198</v>
      </c>
      <c r="I65" s="25">
        <v>1</v>
      </c>
      <c r="J65" s="23"/>
      <c r="K65" s="6"/>
      <c r="L65" s="1" t="s">
        <v>170</v>
      </c>
      <c r="M65" s="6">
        <v>25</v>
      </c>
      <c r="N65" s="23" t="s">
        <v>127</v>
      </c>
      <c r="O65" s="6">
        <v>50</v>
      </c>
      <c r="P65" s="6" t="s">
        <v>207</v>
      </c>
      <c r="Q65" s="6">
        <v>3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>
        <f t="shared" si="0"/>
        <v>79</v>
      </c>
    </row>
    <row r="66" spans="1:55" ht="25.5" customHeight="1" x14ac:dyDescent="0.4">
      <c r="A66" s="14">
        <v>727</v>
      </c>
      <c r="B66" s="15" t="s">
        <v>208</v>
      </c>
      <c r="C66" s="15" t="s">
        <v>68</v>
      </c>
      <c r="D66" s="14">
        <f>M66+Q66+S66+U66+O66+65</f>
        <v>130</v>
      </c>
      <c r="E66" s="16">
        <v>1</v>
      </c>
      <c r="F66" s="16" t="s">
        <v>50</v>
      </c>
      <c r="G66" s="14">
        <v>9</v>
      </c>
      <c r="H66" s="15" t="s">
        <v>198</v>
      </c>
      <c r="I66" s="17">
        <v>1</v>
      </c>
      <c r="J66" s="15"/>
      <c r="K66" s="14"/>
      <c r="L66" s="23" t="s">
        <v>82</v>
      </c>
      <c r="M66" s="14">
        <v>20</v>
      </c>
      <c r="N66" s="15" t="s">
        <v>106</v>
      </c>
      <c r="O66" s="14">
        <v>10</v>
      </c>
      <c r="P66" s="14" t="s">
        <v>107</v>
      </c>
      <c r="Q66" s="14">
        <v>10</v>
      </c>
      <c r="R66" s="14" t="s">
        <v>55</v>
      </c>
      <c r="S66" s="14">
        <v>10</v>
      </c>
      <c r="T66" s="14" t="s">
        <v>108</v>
      </c>
      <c r="U66" s="14">
        <v>15</v>
      </c>
      <c r="V66" s="14" t="s">
        <v>76</v>
      </c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>
        <f t="shared" ref="AV66:AV74" si="1">SUM(I66,K66,M66,O66,Q66,S66,U66,W66,Y66,AA66,AC66,AE66,AG66,AI66,AK66,AM66,AO66,AQ66,AS66,AU66)</f>
        <v>66</v>
      </c>
    </row>
    <row r="67" spans="1:55" ht="25.5" customHeight="1" x14ac:dyDescent="0.4">
      <c r="A67" s="20">
        <v>726</v>
      </c>
      <c r="B67" s="15" t="s">
        <v>209</v>
      </c>
      <c r="C67" s="15" t="s">
        <v>68</v>
      </c>
      <c r="D67" s="14">
        <f>M67+K67+O67+65</f>
        <v>155</v>
      </c>
      <c r="E67" s="16">
        <v>1</v>
      </c>
      <c r="F67" s="16" t="s">
        <v>50</v>
      </c>
      <c r="G67" s="14">
        <v>9</v>
      </c>
      <c r="H67" s="15" t="s">
        <v>198</v>
      </c>
      <c r="I67" s="17">
        <v>1</v>
      </c>
      <c r="J67" s="15" t="s">
        <v>70</v>
      </c>
      <c r="K67" s="15">
        <v>30</v>
      </c>
      <c r="L67" s="15" t="s">
        <v>74</v>
      </c>
      <c r="M67" s="14">
        <v>40</v>
      </c>
      <c r="N67" s="15" t="s">
        <v>157</v>
      </c>
      <c r="O67" s="14">
        <v>20</v>
      </c>
      <c r="P67" s="14" t="s">
        <v>72</v>
      </c>
      <c r="Q67" s="14">
        <v>3</v>
      </c>
      <c r="R67" s="14"/>
      <c r="S67" s="14"/>
      <c r="T67" s="14"/>
      <c r="U67" s="14"/>
      <c r="V67" s="14"/>
      <c r="W67" s="14"/>
      <c r="X67" s="14"/>
      <c r="Y67" s="14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>
        <f t="shared" si="1"/>
        <v>94</v>
      </c>
      <c r="AW67" s="20"/>
      <c r="AX67" s="30"/>
      <c r="AY67" s="30"/>
      <c r="AZ67" s="30"/>
      <c r="BA67" s="30"/>
      <c r="BB67" s="30"/>
      <c r="BC67" s="30"/>
    </row>
    <row r="68" spans="1:55" ht="25.5" customHeight="1" x14ac:dyDescent="0.4">
      <c r="A68" s="20">
        <v>725</v>
      </c>
      <c r="B68" s="15" t="s">
        <v>210</v>
      </c>
      <c r="C68" s="15" t="s">
        <v>68</v>
      </c>
      <c r="D68" s="14">
        <f>M68+K68+O68+U68+65</f>
        <v>150</v>
      </c>
      <c r="E68" s="16">
        <v>1</v>
      </c>
      <c r="F68" s="16" t="s">
        <v>50</v>
      </c>
      <c r="G68" s="14">
        <v>9</v>
      </c>
      <c r="H68" s="15" t="s">
        <v>198</v>
      </c>
      <c r="I68" s="17">
        <v>1</v>
      </c>
      <c r="J68" s="15" t="s">
        <v>52</v>
      </c>
      <c r="K68" s="15">
        <v>30</v>
      </c>
      <c r="L68" s="15" t="s">
        <v>71</v>
      </c>
      <c r="M68" s="14">
        <v>30</v>
      </c>
      <c r="N68" s="15" t="s">
        <v>90</v>
      </c>
      <c r="O68" s="15">
        <v>15</v>
      </c>
      <c r="P68" s="14" t="s">
        <v>91</v>
      </c>
      <c r="Q68" s="14">
        <v>3</v>
      </c>
      <c r="R68" s="14" t="s">
        <v>87</v>
      </c>
      <c r="S68" s="14">
        <v>15</v>
      </c>
      <c r="T68" s="14" t="s">
        <v>65</v>
      </c>
      <c r="U68" s="14">
        <v>10</v>
      </c>
      <c r="V68" s="14" t="s">
        <v>72</v>
      </c>
      <c r="W68" s="14"/>
      <c r="X68" s="14"/>
      <c r="Y68" s="14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>
        <f t="shared" si="1"/>
        <v>104</v>
      </c>
      <c r="AW68" s="20"/>
      <c r="AX68" s="30"/>
      <c r="AY68" s="30"/>
      <c r="AZ68" s="30"/>
      <c r="BA68" s="30"/>
      <c r="BB68" s="30"/>
      <c r="BC68" s="30"/>
    </row>
    <row r="69" spans="1:55" ht="25.5" customHeight="1" x14ac:dyDescent="0.4">
      <c r="A69" s="20">
        <v>724</v>
      </c>
      <c r="B69" s="15" t="s">
        <v>211</v>
      </c>
      <c r="C69" s="15" t="s">
        <v>68</v>
      </c>
      <c r="D69" s="14">
        <f>M69+K69+O69+65</f>
        <v>137</v>
      </c>
      <c r="E69" s="31">
        <v>1</v>
      </c>
      <c r="F69" s="31" t="s">
        <v>50</v>
      </c>
      <c r="G69" s="15">
        <v>9</v>
      </c>
      <c r="H69" s="15" t="s">
        <v>198</v>
      </c>
      <c r="I69" s="32">
        <v>1</v>
      </c>
      <c r="J69" s="15" t="s">
        <v>52</v>
      </c>
      <c r="K69" s="15">
        <v>30</v>
      </c>
      <c r="L69" s="15" t="s">
        <v>89</v>
      </c>
      <c r="M69" s="15">
        <v>30</v>
      </c>
      <c r="N69" s="15" t="s">
        <v>96</v>
      </c>
      <c r="O69" s="15">
        <v>12</v>
      </c>
      <c r="P69" s="15" t="s">
        <v>90</v>
      </c>
      <c r="Q69" s="15">
        <v>15</v>
      </c>
      <c r="R69" s="15" t="s">
        <v>72</v>
      </c>
      <c r="S69" s="15">
        <v>3</v>
      </c>
      <c r="T69" s="15"/>
      <c r="U69" s="15"/>
      <c r="V69" s="15"/>
      <c r="W69" s="15"/>
      <c r="X69" s="15"/>
      <c r="Y69" s="15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>
        <f t="shared" si="1"/>
        <v>91</v>
      </c>
      <c r="AW69" s="20"/>
      <c r="AX69" s="30"/>
      <c r="AY69" s="30"/>
      <c r="AZ69" s="30"/>
      <c r="BA69" s="30"/>
      <c r="BB69" s="30"/>
      <c r="BC69" s="30"/>
    </row>
    <row r="70" spans="1:55" ht="25.5" customHeight="1" x14ac:dyDescent="0.4">
      <c r="A70" s="19">
        <v>723</v>
      </c>
      <c r="B70" s="15" t="s">
        <v>212</v>
      </c>
      <c r="C70" s="15" t="s">
        <v>68</v>
      </c>
      <c r="D70" s="14">
        <f>K70+M70+O70+65</f>
        <v>145</v>
      </c>
      <c r="E70" s="16">
        <v>1</v>
      </c>
      <c r="F70" s="16" t="s">
        <v>50</v>
      </c>
      <c r="G70" s="14">
        <v>9</v>
      </c>
      <c r="H70" s="15" t="s">
        <v>198</v>
      </c>
      <c r="I70" s="17">
        <v>1</v>
      </c>
      <c r="J70" s="15" t="s">
        <v>52</v>
      </c>
      <c r="K70" s="14">
        <v>30</v>
      </c>
      <c r="L70" s="15" t="s">
        <v>98</v>
      </c>
      <c r="M70" s="14">
        <v>35</v>
      </c>
      <c r="N70" s="15" t="s">
        <v>100</v>
      </c>
      <c r="O70" s="14">
        <v>15</v>
      </c>
      <c r="P70" s="14" t="s">
        <v>72</v>
      </c>
      <c r="Q70" s="14">
        <v>3</v>
      </c>
      <c r="R70" s="14"/>
      <c r="S70" s="14"/>
      <c r="T70" s="14"/>
      <c r="U70" s="14"/>
      <c r="V70" s="14"/>
      <c r="W70" s="14"/>
      <c r="X70" s="14"/>
      <c r="Y70" s="14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>
        <f t="shared" si="1"/>
        <v>84</v>
      </c>
      <c r="AW70" s="19"/>
      <c r="AX70" s="33"/>
      <c r="AY70" s="33"/>
      <c r="AZ70" s="33"/>
      <c r="BA70" s="33"/>
      <c r="BB70" s="33"/>
      <c r="BC70" s="33"/>
    </row>
    <row r="71" spans="1:55" ht="25.5" customHeight="1" x14ac:dyDescent="0.4">
      <c r="A71" s="34">
        <v>722</v>
      </c>
      <c r="B71" s="29" t="s">
        <v>213</v>
      </c>
      <c r="C71" s="29" t="s">
        <v>162</v>
      </c>
      <c r="D71" s="34">
        <f>K71+M71+12</f>
        <v>42</v>
      </c>
      <c r="E71" s="35">
        <v>1</v>
      </c>
      <c r="F71" s="35" t="s">
        <v>50</v>
      </c>
      <c r="G71" s="34">
        <v>24</v>
      </c>
      <c r="H71" s="29" t="s">
        <v>214</v>
      </c>
      <c r="I71" s="36">
        <v>1</v>
      </c>
      <c r="J71" s="29" t="s">
        <v>166</v>
      </c>
      <c r="K71" s="34">
        <v>25</v>
      </c>
      <c r="L71" s="15" t="s">
        <v>98</v>
      </c>
      <c r="M71" s="34">
        <v>5</v>
      </c>
      <c r="N71" s="29" t="s">
        <v>167</v>
      </c>
      <c r="O71" s="34">
        <v>5</v>
      </c>
      <c r="P71" s="29"/>
      <c r="Q71" s="34"/>
      <c r="R71" s="34"/>
      <c r="S71" s="34"/>
      <c r="T71" s="29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5">
        <f t="shared" si="1"/>
        <v>36</v>
      </c>
      <c r="AW71" s="34"/>
      <c r="AX71" s="34"/>
      <c r="AY71" s="34"/>
      <c r="AZ71" s="34"/>
      <c r="BA71" s="34"/>
      <c r="BB71" s="34"/>
      <c r="BC71" s="34"/>
    </row>
    <row r="72" spans="1:55" ht="25.5" customHeight="1" x14ac:dyDescent="0.4">
      <c r="A72" s="8">
        <v>721</v>
      </c>
      <c r="B72" s="7" t="s">
        <v>215</v>
      </c>
      <c r="C72" s="7" t="s">
        <v>162</v>
      </c>
      <c r="D72" s="7">
        <f>M72+Q72+U72+O72+S72</f>
        <v>155</v>
      </c>
      <c r="E72" s="37">
        <v>1</v>
      </c>
      <c r="F72" s="37" t="s">
        <v>50</v>
      </c>
      <c r="G72" s="7">
        <v>11</v>
      </c>
      <c r="I72" s="38"/>
      <c r="J72" s="7"/>
      <c r="K72" s="39"/>
      <c r="L72" s="29" t="s">
        <v>216</v>
      </c>
      <c r="M72" s="7">
        <v>40</v>
      </c>
      <c r="N72" s="7" t="s">
        <v>217</v>
      </c>
      <c r="O72" s="7">
        <v>50</v>
      </c>
      <c r="P72" s="7" t="s">
        <v>218</v>
      </c>
      <c r="Q72" s="7">
        <v>20</v>
      </c>
      <c r="R72" s="7" t="s">
        <v>219</v>
      </c>
      <c r="S72" s="7">
        <v>20</v>
      </c>
      <c r="T72" s="7" t="s">
        <v>220</v>
      </c>
      <c r="U72" s="7">
        <v>25</v>
      </c>
      <c r="V72" s="7"/>
      <c r="W72" s="7"/>
      <c r="X72" s="7"/>
      <c r="Y72" s="7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>
        <f t="shared" si="1"/>
        <v>155</v>
      </c>
      <c r="AW72" s="8"/>
      <c r="AX72" s="8"/>
      <c r="AY72" s="8"/>
      <c r="AZ72" s="30"/>
      <c r="BA72" s="30"/>
      <c r="BB72" s="30"/>
      <c r="BC72" s="30"/>
    </row>
    <row r="73" spans="1:55" ht="25.5" customHeight="1" x14ac:dyDescent="0.4">
      <c r="A73" s="34">
        <v>720</v>
      </c>
      <c r="B73" s="1" t="s">
        <v>221</v>
      </c>
      <c r="C73" s="1" t="s">
        <v>59</v>
      </c>
      <c r="D73" s="11">
        <v>1</v>
      </c>
      <c r="E73" s="12">
        <v>1</v>
      </c>
      <c r="F73" s="12" t="s">
        <v>50</v>
      </c>
      <c r="G73" s="11"/>
      <c r="H73" s="1" t="s">
        <v>221</v>
      </c>
      <c r="I73" s="13">
        <v>1</v>
      </c>
      <c r="J73" s="1"/>
      <c r="K73" s="11"/>
      <c r="L73" s="7" t="s">
        <v>222</v>
      </c>
      <c r="M73" s="11"/>
      <c r="N73" s="1"/>
      <c r="O73" s="11"/>
      <c r="P73" s="1"/>
      <c r="Q73" s="11"/>
      <c r="R73" s="11"/>
      <c r="S73" s="11"/>
      <c r="T73" s="1"/>
      <c r="U73" s="11"/>
      <c r="V73" s="11"/>
      <c r="W73" s="11"/>
      <c r="X73" s="11"/>
      <c r="Y73" s="11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5">
        <f t="shared" si="1"/>
        <v>1</v>
      </c>
      <c r="AW73" s="34"/>
      <c r="AX73" s="34"/>
      <c r="AY73" s="34"/>
      <c r="AZ73" s="34"/>
      <c r="BA73" s="34"/>
      <c r="BB73" s="34"/>
      <c r="BC73" s="34"/>
    </row>
    <row r="74" spans="1:55" ht="25.5" customHeight="1" x14ac:dyDescent="0.4">
      <c r="A74" s="34">
        <v>719</v>
      </c>
      <c r="B74" s="1" t="s">
        <v>223</v>
      </c>
      <c r="C74" s="1" t="s">
        <v>59</v>
      </c>
      <c r="D74" s="11">
        <v>1</v>
      </c>
      <c r="E74" s="12">
        <v>1</v>
      </c>
      <c r="F74" s="12" t="s">
        <v>50</v>
      </c>
      <c r="G74" s="11"/>
      <c r="H74" s="1" t="s">
        <v>223</v>
      </c>
      <c r="I74" s="13">
        <v>1</v>
      </c>
      <c r="J74" s="1"/>
      <c r="K74" s="11"/>
      <c r="M74" s="11"/>
      <c r="N74" s="1"/>
      <c r="O74" s="11"/>
      <c r="P74" s="1"/>
      <c r="Q74" s="11"/>
      <c r="R74" s="11"/>
      <c r="S74" s="11"/>
      <c r="T74" s="1"/>
      <c r="U74" s="11"/>
      <c r="V74" s="11"/>
      <c r="W74" s="11"/>
      <c r="X74" s="11"/>
      <c r="Y74" s="11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5">
        <f t="shared" si="1"/>
        <v>1</v>
      </c>
      <c r="AW74" s="34"/>
      <c r="AX74" s="34"/>
      <c r="AY74" s="34"/>
      <c r="AZ74" s="34"/>
      <c r="BA74" s="34"/>
      <c r="BB74" s="34"/>
      <c r="BC74" s="34"/>
    </row>
    <row r="75" spans="1:55" ht="25.5" customHeight="1" x14ac:dyDescent="0.4">
      <c r="A75" s="8">
        <v>718</v>
      </c>
      <c r="B75" s="23" t="s">
        <v>224</v>
      </c>
      <c r="C75" s="23" t="s">
        <v>125</v>
      </c>
      <c r="D75" s="6">
        <f>K75+M75+O75+10</f>
        <v>30</v>
      </c>
      <c r="E75" s="24">
        <v>1</v>
      </c>
      <c r="F75" s="24" t="s">
        <v>50</v>
      </c>
      <c r="G75" s="6">
        <v>30</v>
      </c>
      <c r="H75" s="7" t="s">
        <v>126</v>
      </c>
      <c r="I75" s="25">
        <v>0.1</v>
      </c>
      <c r="J75" s="23"/>
      <c r="K75" s="6"/>
      <c r="L75" s="23" t="s">
        <v>225</v>
      </c>
      <c r="M75" s="6">
        <v>20</v>
      </c>
      <c r="N75" s="23" t="s">
        <v>226</v>
      </c>
      <c r="O75" s="6"/>
      <c r="P75" s="23" t="s">
        <v>227</v>
      </c>
      <c r="Q75" s="6">
        <v>3</v>
      </c>
      <c r="R75" s="6" t="s">
        <v>207</v>
      </c>
      <c r="S75" s="6">
        <v>5</v>
      </c>
      <c r="T75" s="6"/>
      <c r="U75" s="6"/>
      <c r="V75" s="6"/>
      <c r="W75" s="6"/>
      <c r="X75" s="6"/>
      <c r="Y75" s="6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t="e">
        <f>SUM(I75,K75,M75,O75,Q75,#REF!,U75,W75,Y75,AA75,AC75,AE75,AG75,AI75,AK75,AM75,AO75,AQ75,AS75,AU75)</f>
        <v>#REF!</v>
      </c>
      <c r="AW75" s="8"/>
      <c r="AX75" s="8"/>
      <c r="AY75" s="8"/>
      <c r="AZ75" s="30"/>
      <c r="BA75" s="30"/>
      <c r="BB75" s="30"/>
      <c r="BC75" s="30"/>
    </row>
    <row r="76" spans="1:55" ht="25.5" customHeight="1" x14ac:dyDescent="0.4">
      <c r="A76" s="20">
        <v>717</v>
      </c>
      <c r="B76" s="15" t="s">
        <v>228</v>
      </c>
      <c r="C76" s="15" t="s">
        <v>49</v>
      </c>
      <c r="D76" s="14">
        <f>M76+O76+Q76</f>
        <v>70</v>
      </c>
      <c r="E76" s="16">
        <v>1</v>
      </c>
      <c r="F76" s="16" t="s">
        <v>50</v>
      </c>
      <c r="G76" s="14">
        <v>24</v>
      </c>
      <c r="H76" s="15"/>
      <c r="I76" s="17"/>
      <c r="J76" s="15"/>
      <c r="K76" s="14"/>
      <c r="L76" s="15" t="s">
        <v>160</v>
      </c>
      <c r="M76" s="14">
        <v>40</v>
      </c>
      <c r="N76" s="15" t="s">
        <v>229</v>
      </c>
      <c r="O76" s="14">
        <v>20</v>
      </c>
      <c r="P76" s="15" t="s">
        <v>82</v>
      </c>
      <c r="Q76" s="14">
        <v>10</v>
      </c>
      <c r="R76" s="14" t="s">
        <v>226</v>
      </c>
      <c r="S76">
        <v>5</v>
      </c>
      <c r="T76" s="15"/>
      <c r="U76" s="14"/>
      <c r="V76" s="14"/>
      <c r="W76" s="14"/>
      <c r="X76" s="14"/>
      <c r="Y76" s="14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>
        <f>SUM(I76,K76,M76,O76,Q76,S75,U76,W76,Y76,AA76,AC76,AE76,AG76,AI76,AK76,AM76,AO76,AQ76,AS76,AU76)</f>
        <v>75</v>
      </c>
      <c r="AW76" s="20"/>
      <c r="AX76" s="30"/>
      <c r="AY76" s="30"/>
      <c r="AZ76" s="30"/>
      <c r="BA76" s="30"/>
      <c r="BB76" s="30"/>
      <c r="BC76" s="30"/>
    </row>
    <row r="77" spans="1:55" ht="25.5" customHeight="1" x14ac:dyDescent="0.4">
      <c r="A77" s="20">
        <v>716</v>
      </c>
      <c r="B77" s="19" t="s">
        <v>230</v>
      </c>
      <c r="C77" s="15" t="s">
        <v>125</v>
      </c>
      <c r="D77" s="14">
        <f>K77+M77+O77+10</f>
        <v>30</v>
      </c>
      <c r="E77" s="16">
        <v>1</v>
      </c>
      <c r="F77" s="16" t="s">
        <v>50</v>
      </c>
      <c r="G77" s="14">
        <v>30</v>
      </c>
      <c r="H77" s="19" t="s">
        <v>126</v>
      </c>
      <c r="I77" s="17">
        <v>0.1</v>
      </c>
      <c r="J77" s="15" t="s">
        <v>52</v>
      </c>
      <c r="K77" s="14">
        <v>10</v>
      </c>
      <c r="L77" s="15" t="s">
        <v>231</v>
      </c>
      <c r="M77" s="14">
        <v>10</v>
      </c>
      <c r="N77" s="15" t="s">
        <v>232</v>
      </c>
      <c r="O77" s="14"/>
      <c r="P77" s="14" t="s">
        <v>226</v>
      </c>
      <c r="Q77" s="14">
        <v>3</v>
      </c>
      <c r="R77" s="14" t="s">
        <v>233</v>
      </c>
      <c r="S77" s="14">
        <v>5</v>
      </c>
      <c r="T77" s="14" t="s">
        <v>66</v>
      </c>
      <c r="U77" s="14">
        <v>5</v>
      </c>
      <c r="V77" s="14" t="s">
        <v>65</v>
      </c>
      <c r="W77" s="14">
        <v>5</v>
      </c>
      <c r="X77" s="14"/>
      <c r="Y77" s="14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>
        <f t="shared" ref="AV77:AV140" si="2">SUM(I77,K77,M77,O77,Q77,S77,U77,W77,Y77,AA77,AC77,AE77,AG77,AI77,AK77,AM77,AO77,AQ77,AS77,AU77)</f>
        <v>38.1</v>
      </c>
      <c r="AW77" s="20"/>
      <c r="AX77" s="30"/>
      <c r="AY77" s="30"/>
      <c r="AZ77" s="30"/>
      <c r="BA77" s="30"/>
      <c r="BB77" s="30"/>
      <c r="BC77" s="30"/>
    </row>
    <row r="78" spans="1:55" ht="25.5" customHeight="1" x14ac:dyDescent="0.4">
      <c r="A78" s="20"/>
      <c r="B78" s="15" t="s">
        <v>234</v>
      </c>
      <c r="C78" s="15" t="s">
        <v>235</v>
      </c>
      <c r="D78" s="14">
        <f>M78+O78+Q78+S78+U78+W78+Y78</f>
        <v>2000</v>
      </c>
      <c r="E78" s="16">
        <v>1</v>
      </c>
      <c r="F78" s="16" t="s">
        <v>50</v>
      </c>
      <c r="G78" s="14">
        <v>1</v>
      </c>
      <c r="H78" s="15"/>
      <c r="I78" s="17"/>
      <c r="J78" s="15"/>
      <c r="K78" s="14"/>
      <c r="L78" s="15" t="s">
        <v>236</v>
      </c>
      <c r="M78" s="14">
        <v>375</v>
      </c>
      <c r="N78" s="15" t="s">
        <v>237</v>
      </c>
      <c r="O78" s="14">
        <v>375</v>
      </c>
      <c r="P78" s="14" t="s">
        <v>98</v>
      </c>
      <c r="Q78" s="14">
        <v>375</v>
      </c>
      <c r="R78" s="14" t="s">
        <v>111</v>
      </c>
      <c r="S78" s="14">
        <v>375</v>
      </c>
      <c r="T78" s="15" t="s">
        <v>238</v>
      </c>
      <c r="U78" s="14">
        <v>100</v>
      </c>
      <c r="V78" s="14" t="s">
        <v>100</v>
      </c>
      <c r="W78" s="14">
        <v>200</v>
      </c>
      <c r="X78" s="14" t="s">
        <v>147</v>
      </c>
      <c r="Y78" s="14">
        <v>200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>
        <f t="shared" si="2"/>
        <v>2000</v>
      </c>
      <c r="AW78" s="20"/>
      <c r="AX78" s="30"/>
      <c r="AY78" s="30"/>
      <c r="AZ78" s="30"/>
      <c r="BA78" s="30"/>
      <c r="BB78" s="30"/>
      <c r="BC78" s="30"/>
    </row>
    <row r="79" spans="1:55" ht="25.5" customHeight="1" x14ac:dyDescent="0.4">
      <c r="A79" s="19">
        <v>714</v>
      </c>
      <c r="B79" s="15" t="s">
        <v>239</v>
      </c>
      <c r="C79" s="15" t="s">
        <v>235</v>
      </c>
      <c r="D79" s="15">
        <f>M79+O79+Q79+S79+U79+W79+Y79</f>
        <v>800</v>
      </c>
      <c r="E79" s="31">
        <v>1</v>
      </c>
      <c r="F79" s="31" t="s">
        <v>50</v>
      </c>
      <c r="G79" s="15">
        <v>1</v>
      </c>
      <c r="H79" s="15"/>
      <c r="I79" s="32"/>
      <c r="J79" s="15"/>
      <c r="K79" s="15"/>
      <c r="L79" s="15" t="s">
        <v>111</v>
      </c>
      <c r="M79" s="15">
        <v>150</v>
      </c>
      <c r="N79" s="15" t="s">
        <v>98</v>
      </c>
      <c r="O79" s="15">
        <v>150</v>
      </c>
      <c r="P79" s="15" t="s">
        <v>237</v>
      </c>
      <c r="Q79" s="15">
        <v>150</v>
      </c>
      <c r="R79" s="15" t="s">
        <v>236</v>
      </c>
      <c r="S79" s="15">
        <v>150</v>
      </c>
      <c r="T79" s="15" t="s">
        <v>100</v>
      </c>
      <c r="U79" s="15">
        <v>100</v>
      </c>
      <c r="V79" s="15" t="s">
        <v>147</v>
      </c>
      <c r="W79" s="15">
        <v>50</v>
      </c>
      <c r="X79" s="15" t="s">
        <v>238</v>
      </c>
      <c r="Y79" s="15">
        <v>50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>
        <f t="shared" si="2"/>
        <v>800</v>
      </c>
      <c r="AW79" s="19"/>
      <c r="AX79" s="33"/>
      <c r="AY79" s="33"/>
      <c r="AZ79" s="33"/>
      <c r="BA79" s="33"/>
      <c r="BB79" s="33"/>
      <c r="BC79" s="33"/>
    </row>
    <row r="80" spans="1:55" ht="25.5" customHeight="1" x14ac:dyDescent="0.4">
      <c r="A80" s="14">
        <v>712</v>
      </c>
      <c r="B80" s="19" t="s">
        <v>240</v>
      </c>
      <c r="C80" s="19" t="s">
        <v>118</v>
      </c>
      <c r="D80" s="20">
        <f>M80+O80+Q80+S80+U80</f>
        <v>80</v>
      </c>
      <c r="E80" s="21">
        <v>1</v>
      </c>
      <c r="F80" s="21" t="s">
        <v>50</v>
      </c>
      <c r="G80" s="14">
        <v>11</v>
      </c>
      <c r="H80" s="19"/>
      <c r="I80" s="22"/>
      <c r="J80" s="19"/>
      <c r="K80" s="20"/>
      <c r="L80" s="19" t="s">
        <v>241</v>
      </c>
      <c r="M80" s="20">
        <v>30</v>
      </c>
      <c r="N80" s="19" t="s">
        <v>242</v>
      </c>
      <c r="O80" s="20">
        <v>30</v>
      </c>
      <c r="P80" s="14" t="s">
        <v>74</v>
      </c>
      <c r="Q80" s="20">
        <v>5</v>
      </c>
      <c r="R80" s="20" t="s">
        <v>55</v>
      </c>
      <c r="S80" s="20">
        <v>10</v>
      </c>
      <c r="T80" s="19" t="s">
        <v>84</v>
      </c>
      <c r="U80" s="20">
        <v>5</v>
      </c>
      <c r="V80" s="20" t="s">
        <v>194</v>
      </c>
      <c r="W80" s="20"/>
      <c r="X80" s="20"/>
      <c r="Y80" s="20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>
        <f t="shared" si="2"/>
        <v>80</v>
      </c>
    </row>
    <row r="81" spans="1:48" ht="12.75" customHeight="1" x14ac:dyDescent="0.4">
      <c r="A81" s="11">
        <v>711</v>
      </c>
      <c r="B81" s="1" t="s">
        <v>243</v>
      </c>
      <c r="C81" s="1" t="s">
        <v>235</v>
      </c>
      <c r="D81" s="11"/>
      <c r="E81" s="12">
        <v>1</v>
      </c>
      <c r="F81" s="12" t="s">
        <v>50</v>
      </c>
      <c r="G81" s="11">
        <v>1</v>
      </c>
      <c r="H81" s="1"/>
      <c r="I81" s="13"/>
      <c r="J81" s="1"/>
      <c r="K81" s="11"/>
      <c r="L81" s="1"/>
      <c r="M81" s="11"/>
      <c r="N81" s="1"/>
      <c r="O81" s="11"/>
      <c r="P81" s="1"/>
      <c r="Q81" s="11"/>
      <c r="R81" s="11"/>
      <c r="S81" s="11"/>
      <c r="T81" s="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5">
        <f t="shared" si="2"/>
        <v>0</v>
      </c>
    </row>
    <row r="82" spans="1:48" ht="12.75" customHeight="1" x14ac:dyDescent="0.4">
      <c r="A82" s="11">
        <v>710</v>
      </c>
      <c r="B82" s="1" t="s">
        <v>244</v>
      </c>
      <c r="C82" s="1" t="s">
        <v>245</v>
      </c>
      <c r="D82" s="11"/>
      <c r="E82" s="12">
        <v>1</v>
      </c>
      <c r="F82" s="12" t="s">
        <v>50</v>
      </c>
      <c r="G82" s="11">
        <v>24</v>
      </c>
      <c r="H82" s="1"/>
      <c r="I82" s="13"/>
      <c r="J82" s="1"/>
      <c r="K82" s="11"/>
      <c r="L82" s="1"/>
      <c r="M82" s="11"/>
      <c r="N82" s="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5">
        <f t="shared" si="2"/>
        <v>0</v>
      </c>
    </row>
    <row r="83" spans="1:48" ht="12.75" customHeight="1" x14ac:dyDescent="0.4">
      <c r="A83" s="11">
        <v>709</v>
      </c>
      <c r="B83" s="1" t="s">
        <v>246</v>
      </c>
      <c r="C83" s="1" t="s">
        <v>245</v>
      </c>
      <c r="D83" s="11"/>
      <c r="E83" s="12">
        <v>1</v>
      </c>
      <c r="F83" s="12" t="s">
        <v>50</v>
      </c>
      <c r="G83" s="11">
        <v>1</v>
      </c>
      <c r="H83" s="1"/>
      <c r="I83" s="13"/>
      <c r="J83" s="1"/>
      <c r="K83" s="11"/>
      <c r="L83" s="1"/>
      <c r="M83" s="11"/>
      <c r="N83" s="1"/>
      <c r="O83" s="11"/>
      <c r="P83" s="1"/>
      <c r="Q83" s="11"/>
      <c r="R83" s="11"/>
      <c r="S83" s="11"/>
      <c r="T83" s="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5">
        <f t="shared" si="2"/>
        <v>0</v>
      </c>
    </row>
    <row r="84" spans="1:48" ht="12.75" customHeight="1" x14ac:dyDescent="0.4">
      <c r="A84" s="6">
        <v>708</v>
      </c>
      <c r="B84" s="23" t="s">
        <v>247</v>
      </c>
      <c r="C84" s="23" t="s">
        <v>118</v>
      </c>
      <c r="D84" s="6">
        <f>M84+O84</f>
        <v>1000</v>
      </c>
      <c r="E84" s="24">
        <v>1</v>
      </c>
      <c r="F84" s="24" t="s">
        <v>50</v>
      </c>
      <c r="G84" s="6">
        <v>1</v>
      </c>
      <c r="H84" s="23"/>
      <c r="I84" s="25"/>
      <c r="J84" s="23"/>
      <c r="K84" s="6"/>
      <c r="L84" s="23" t="s">
        <v>192</v>
      </c>
      <c r="M84" s="6">
        <v>850</v>
      </c>
      <c r="N84" s="23" t="s">
        <v>120</v>
      </c>
      <c r="O84" s="6">
        <v>150</v>
      </c>
      <c r="P84" s="6" t="s">
        <v>65</v>
      </c>
      <c r="Q84" s="6">
        <v>50</v>
      </c>
      <c r="R84" s="6" t="s">
        <v>172</v>
      </c>
      <c r="S84" s="6">
        <v>5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>
        <f t="shared" si="2"/>
        <v>1055</v>
      </c>
    </row>
    <row r="85" spans="1:48" ht="25.5" customHeight="1" x14ac:dyDescent="0.4">
      <c r="A85" s="14">
        <v>707</v>
      </c>
      <c r="B85" s="19" t="s">
        <v>248</v>
      </c>
      <c r="C85" s="19" t="s">
        <v>49</v>
      </c>
      <c r="D85" s="20">
        <f>K85+M85+O85</f>
        <v>45</v>
      </c>
      <c r="E85" s="21">
        <v>1</v>
      </c>
      <c r="F85" s="21" t="s">
        <v>50</v>
      </c>
      <c r="G85" s="20">
        <v>24</v>
      </c>
      <c r="H85" s="19"/>
      <c r="I85" s="22"/>
      <c r="J85" s="19" t="s">
        <v>52</v>
      </c>
      <c r="K85" s="20">
        <v>10</v>
      </c>
      <c r="L85" s="19" t="s">
        <v>106</v>
      </c>
      <c r="M85" s="20">
        <v>30</v>
      </c>
      <c r="N85" s="19" t="s">
        <v>74</v>
      </c>
      <c r="O85" s="20">
        <v>5</v>
      </c>
      <c r="P85" s="19" t="s">
        <v>249</v>
      </c>
      <c r="Q85" s="20">
        <v>5</v>
      </c>
      <c r="R85" s="20"/>
      <c r="S85" s="20"/>
      <c r="T85" s="19"/>
      <c r="U85" s="20"/>
      <c r="V85" s="20"/>
      <c r="W85" s="20"/>
      <c r="X85" s="20"/>
      <c r="Y85" s="20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>
        <f t="shared" si="2"/>
        <v>50</v>
      </c>
    </row>
    <row r="86" spans="1:48" ht="25.5" customHeight="1" x14ac:dyDescent="0.4">
      <c r="A86" s="14">
        <v>706</v>
      </c>
      <c r="B86" s="15" t="s">
        <v>250</v>
      </c>
      <c r="C86" s="15" t="s">
        <v>125</v>
      </c>
      <c r="D86" s="14">
        <f>K86+M86+O86+10</f>
        <v>35</v>
      </c>
      <c r="E86" s="16">
        <v>1</v>
      </c>
      <c r="F86" s="16" t="s">
        <v>50</v>
      </c>
      <c r="G86" s="14">
        <v>30</v>
      </c>
      <c r="H86" s="19" t="s">
        <v>126</v>
      </c>
      <c r="I86" s="17">
        <v>0.1</v>
      </c>
      <c r="J86" s="15"/>
      <c r="K86" s="14"/>
      <c r="L86" s="15" t="s">
        <v>251</v>
      </c>
      <c r="M86" s="14">
        <v>15</v>
      </c>
      <c r="N86" s="15" t="s">
        <v>89</v>
      </c>
      <c r="O86" s="14">
        <v>10</v>
      </c>
      <c r="P86" s="14" t="s">
        <v>91</v>
      </c>
      <c r="Q86" s="14">
        <v>3</v>
      </c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>
        <f t="shared" si="2"/>
        <v>28.1</v>
      </c>
    </row>
    <row r="87" spans="1:48" ht="25.5" customHeight="1" x14ac:dyDescent="0.4">
      <c r="A87" s="14">
        <v>705</v>
      </c>
      <c r="B87" s="19" t="s">
        <v>252</v>
      </c>
      <c r="C87" s="15" t="s">
        <v>125</v>
      </c>
      <c r="D87" s="14">
        <f>K87+M87+O87+10</f>
        <v>35</v>
      </c>
      <c r="E87" s="16">
        <v>1</v>
      </c>
      <c r="F87" s="16" t="s">
        <v>50</v>
      </c>
      <c r="G87" s="14">
        <v>30</v>
      </c>
      <c r="H87" s="19" t="s">
        <v>126</v>
      </c>
      <c r="I87" s="17">
        <v>0.1</v>
      </c>
      <c r="J87" s="15"/>
      <c r="K87" s="14"/>
      <c r="L87" s="15" t="s">
        <v>127</v>
      </c>
      <c r="M87" s="14">
        <v>20</v>
      </c>
      <c r="N87" s="15" t="s">
        <v>123</v>
      </c>
      <c r="O87" s="14">
        <v>5</v>
      </c>
      <c r="P87" s="14" t="s">
        <v>253</v>
      </c>
      <c r="Q87" s="14">
        <v>3</v>
      </c>
      <c r="R87" s="14" t="s">
        <v>128</v>
      </c>
      <c r="S87" s="14">
        <v>5</v>
      </c>
      <c r="T87" s="14" t="s">
        <v>66</v>
      </c>
      <c r="U87" s="14">
        <v>5</v>
      </c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>
        <f t="shared" si="2"/>
        <v>38.1</v>
      </c>
    </row>
    <row r="88" spans="1:48" ht="12.75" customHeight="1" x14ac:dyDescent="0.4">
      <c r="A88" s="14">
        <v>704</v>
      </c>
      <c r="B88" s="15" t="s">
        <v>254</v>
      </c>
      <c r="C88" s="15" t="s">
        <v>49</v>
      </c>
      <c r="D88" s="14">
        <f>K88+M88</f>
        <v>35</v>
      </c>
      <c r="E88" s="16">
        <v>1</v>
      </c>
      <c r="F88" s="16" t="s">
        <v>50</v>
      </c>
      <c r="G88" s="14">
        <v>24</v>
      </c>
      <c r="H88" s="15"/>
      <c r="I88" s="17"/>
      <c r="J88" s="15" t="s">
        <v>105</v>
      </c>
      <c r="K88" s="14">
        <v>25</v>
      </c>
      <c r="L88" s="15" t="s">
        <v>84</v>
      </c>
      <c r="M88" s="14">
        <v>10</v>
      </c>
      <c r="N88" s="15" t="s">
        <v>66</v>
      </c>
      <c r="O88" s="14"/>
      <c r="P88" s="15" t="s">
        <v>255</v>
      </c>
      <c r="Q88" s="14">
        <v>30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>
        <f t="shared" si="2"/>
        <v>65</v>
      </c>
    </row>
    <row r="89" spans="1:48" ht="25.5" customHeight="1" x14ac:dyDescent="0.4">
      <c r="A89" s="14">
        <v>703</v>
      </c>
      <c r="B89" s="19" t="s">
        <v>256</v>
      </c>
      <c r="C89" s="19" t="s">
        <v>162</v>
      </c>
      <c r="D89" s="20">
        <f>M89+Q89+U89+O89+S89</f>
        <v>140</v>
      </c>
      <c r="E89" s="40">
        <v>1</v>
      </c>
      <c r="F89" s="40" t="s">
        <v>50</v>
      </c>
      <c r="G89" s="19">
        <v>11</v>
      </c>
      <c r="H89" s="19"/>
      <c r="I89" s="41"/>
      <c r="J89" s="19"/>
      <c r="K89" s="26"/>
      <c r="L89" s="19" t="s">
        <v>222</v>
      </c>
      <c r="M89" s="19">
        <v>40</v>
      </c>
      <c r="N89" s="20" t="s">
        <v>217</v>
      </c>
      <c r="O89" s="19">
        <v>50</v>
      </c>
      <c r="P89" s="19" t="s">
        <v>257</v>
      </c>
      <c r="Q89" s="20">
        <v>10</v>
      </c>
      <c r="R89" s="19" t="s">
        <v>258</v>
      </c>
      <c r="S89" s="19">
        <v>20</v>
      </c>
      <c r="T89" s="20" t="s">
        <v>219</v>
      </c>
      <c r="U89" s="20">
        <v>20</v>
      </c>
      <c r="V89" s="19"/>
      <c r="W89" s="19"/>
      <c r="X89" s="19"/>
      <c r="Y89" s="19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>
        <f t="shared" si="2"/>
        <v>140</v>
      </c>
    </row>
    <row r="90" spans="1:48" ht="25.5" customHeight="1" x14ac:dyDescent="0.4">
      <c r="A90" s="14">
        <v>702</v>
      </c>
      <c r="B90" s="19" t="s">
        <v>259</v>
      </c>
      <c r="C90" s="19" t="s">
        <v>61</v>
      </c>
      <c r="D90" s="14">
        <f>K90+M90+O90+Q90+20</f>
        <v>105</v>
      </c>
      <c r="E90" s="21">
        <v>1</v>
      </c>
      <c r="F90" s="21" t="s">
        <v>50</v>
      </c>
      <c r="G90" s="20">
        <v>9</v>
      </c>
      <c r="H90" s="19" t="s">
        <v>62</v>
      </c>
      <c r="I90" s="22">
        <v>0.1</v>
      </c>
      <c r="J90" s="19" t="s">
        <v>52</v>
      </c>
      <c r="K90" s="20">
        <v>20</v>
      </c>
      <c r="L90" s="19" t="s">
        <v>75</v>
      </c>
      <c r="M90" s="20">
        <v>25</v>
      </c>
      <c r="N90" s="19" t="s">
        <v>64</v>
      </c>
      <c r="O90" s="20">
        <v>35</v>
      </c>
      <c r="P90" s="20" t="s">
        <v>74</v>
      </c>
      <c r="Q90" s="20">
        <v>5</v>
      </c>
      <c r="R90" s="20" t="s">
        <v>173</v>
      </c>
      <c r="S90" s="20">
        <v>5</v>
      </c>
      <c r="T90" s="20"/>
      <c r="U90" s="20"/>
      <c r="V90" s="20"/>
      <c r="W90" s="20"/>
      <c r="X90" s="20"/>
      <c r="Y90" s="20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>
        <f t="shared" si="2"/>
        <v>90.1</v>
      </c>
    </row>
    <row r="91" spans="1:48" ht="12.75" customHeight="1" x14ac:dyDescent="0.4">
      <c r="A91" s="14">
        <v>701</v>
      </c>
      <c r="B91" s="19" t="s">
        <v>260</v>
      </c>
      <c r="C91" s="19" t="s">
        <v>61</v>
      </c>
      <c r="D91" s="20">
        <f>K91+M91+O91+20</f>
        <v>90</v>
      </c>
      <c r="E91" s="21">
        <v>1</v>
      </c>
      <c r="F91" s="21" t="s">
        <v>50</v>
      </c>
      <c r="G91" s="20">
        <v>9</v>
      </c>
      <c r="H91" s="19" t="s">
        <v>62</v>
      </c>
      <c r="I91" s="22">
        <v>0.1</v>
      </c>
      <c r="J91" s="19"/>
      <c r="K91" s="20"/>
      <c r="L91" s="19" t="s">
        <v>127</v>
      </c>
      <c r="M91" s="20">
        <v>60</v>
      </c>
      <c r="N91" s="19" t="s">
        <v>123</v>
      </c>
      <c r="O91" s="20">
        <v>10</v>
      </c>
      <c r="P91" s="20" t="s">
        <v>253</v>
      </c>
      <c r="Q91" s="20">
        <v>5</v>
      </c>
      <c r="R91" s="20" t="s">
        <v>261</v>
      </c>
      <c r="S91" s="20">
        <v>20</v>
      </c>
      <c r="T91" s="20" t="s">
        <v>262</v>
      </c>
      <c r="U91" s="20"/>
      <c r="V91" s="20" t="s">
        <v>66</v>
      </c>
      <c r="W91" s="20"/>
      <c r="X91" s="20"/>
      <c r="Y91" s="20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>
        <f t="shared" si="2"/>
        <v>95.1</v>
      </c>
    </row>
    <row r="92" spans="1:48" ht="25.5" customHeight="1" x14ac:dyDescent="0.4">
      <c r="A92" s="11">
        <v>700</v>
      </c>
      <c r="B92" s="29" t="s">
        <v>263</v>
      </c>
      <c r="C92" s="29" t="s">
        <v>61</v>
      </c>
      <c r="D92" s="11">
        <f>K92+M92+O92+20</f>
        <v>90</v>
      </c>
      <c r="E92" s="35">
        <v>1</v>
      </c>
      <c r="F92" s="35" t="s">
        <v>50</v>
      </c>
      <c r="G92" s="34">
        <v>9</v>
      </c>
      <c r="H92" s="29" t="s">
        <v>62</v>
      </c>
      <c r="I92" s="36">
        <v>0.1</v>
      </c>
      <c r="J92" s="29" t="s">
        <v>52</v>
      </c>
      <c r="K92" s="34">
        <v>60</v>
      </c>
      <c r="L92" s="29" t="s">
        <v>264</v>
      </c>
      <c r="M92" s="34">
        <v>10</v>
      </c>
      <c r="N92" s="29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5">
        <f t="shared" si="2"/>
        <v>70.099999999999994</v>
      </c>
    </row>
    <row r="93" spans="1:48" ht="25.5" customHeight="1" x14ac:dyDescent="0.4">
      <c r="A93" s="6">
        <v>699</v>
      </c>
      <c r="B93" s="7" t="s">
        <v>265</v>
      </c>
      <c r="C93" s="7" t="s">
        <v>61</v>
      </c>
      <c r="D93" s="6">
        <f>K93+M93+O93+20</f>
        <v>110</v>
      </c>
      <c r="E93" s="9">
        <v>1</v>
      </c>
      <c r="F93" s="9" t="s">
        <v>50</v>
      </c>
      <c r="G93" s="8">
        <v>9</v>
      </c>
      <c r="H93" s="7" t="s">
        <v>62</v>
      </c>
      <c r="I93" s="10">
        <v>0.1</v>
      </c>
      <c r="J93" s="7" t="s">
        <v>52</v>
      </c>
      <c r="K93" s="8">
        <v>20</v>
      </c>
      <c r="L93" s="7" t="s">
        <v>266</v>
      </c>
      <c r="M93" s="8">
        <v>70</v>
      </c>
      <c r="N93" s="7" t="s">
        <v>66</v>
      </c>
      <c r="O93" s="8"/>
      <c r="P93" s="8" t="s">
        <v>72</v>
      </c>
      <c r="Q93" s="8">
        <v>3</v>
      </c>
      <c r="R93" s="8"/>
      <c r="S93" s="8"/>
      <c r="T93" s="8"/>
      <c r="U93" s="8"/>
      <c r="V93" s="8"/>
      <c r="W93" s="8"/>
      <c r="X93" s="8"/>
      <c r="Y93" s="8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>
        <f t="shared" si="2"/>
        <v>93.1</v>
      </c>
    </row>
    <row r="94" spans="1:48" ht="25.5" customHeight="1" x14ac:dyDescent="0.4">
      <c r="A94" s="14">
        <v>698</v>
      </c>
      <c r="B94" s="19" t="s">
        <v>267</v>
      </c>
      <c r="C94" s="19" t="s">
        <v>61</v>
      </c>
      <c r="D94" s="20">
        <f>K94+M94+O94+20</f>
        <v>90</v>
      </c>
      <c r="E94" s="21">
        <v>1</v>
      </c>
      <c r="F94" s="21" t="s">
        <v>50</v>
      </c>
      <c r="G94" s="20">
        <v>9</v>
      </c>
      <c r="H94" s="19" t="s">
        <v>62</v>
      </c>
      <c r="I94" s="22">
        <v>0.1</v>
      </c>
      <c r="J94" s="19" t="s">
        <v>52</v>
      </c>
      <c r="K94" s="20">
        <v>20</v>
      </c>
      <c r="L94" s="19" t="s">
        <v>268</v>
      </c>
      <c r="M94" s="20">
        <v>20</v>
      </c>
      <c r="N94" s="19" t="s">
        <v>83</v>
      </c>
      <c r="O94" s="20">
        <v>30</v>
      </c>
      <c r="P94" s="20" t="s">
        <v>66</v>
      </c>
      <c r="Q94" s="20">
        <v>5</v>
      </c>
      <c r="R94" s="20" t="s">
        <v>72</v>
      </c>
      <c r="S94" s="20">
        <v>3</v>
      </c>
      <c r="T94" s="20"/>
      <c r="U94" s="20"/>
      <c r="V94" s="20"/>
      <c r="W94" s="20"/>
      <c r="X94" s="20"/>
      <c r="Y94" s="20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>
        <f t="shared" si="2"/>
        <v>78.099999999999994</v>
      </c>
    </row>
    <row r="95" spans="1:48" ht="25.5" customHeight="1" x14ac:dyDescent="0.4">
      <c r="A95" s="14">
        <v>697</v>
      </c>
      <c r="B95" s="19" t="s">
        <v>269</v>
      </c>
      <c r="C95" s="19" t="s">
        <v>61</v>
      </c>
      <c r="D95" s="14">
        <f>K95+Q95+S95+M95+O95+20</f>
        <v>85</v>
      </c>
      <c r="E95" s="21">
        <v>1</v>
      </c>
      <c r="F95" s="21" t="s">
        <v>50</v>
      </c>
      <c r="G95" s="20">
        <v>9</v>
      </c>
      <c r="H95" s="19" t="s">
        <v>62</v>
      </c>
      <c r="I95" s="22">
        <v>0.1</v>
      </c>
      <c r="J95" s="19" t="s">
        <v>52</v>
      </c>
      <c r="K95" s="20">
        <v>20</v>
      </c>
      <c r="L95" s="19" t="s">
        <v>111</v>
      </c>
      <c r="M95" s="20">
        <v>15</v>
      </c>
      <c r="N95" s="19" t="s">
        <v>79</v>
      </c>
      <c r="O95" s="20">
        <v>10</v>
      </c>
      <c r="P95" s="20" t="s">
        <v>112</v>
      </c>
      <c r="Q95" s="20">
        <v>15</v>
      </c>
      <c r="R95" s="20" t="s">
        <v>270</v>
      </c>
      <c r="S95" s="20">
        <v>5</v>
      </c>
      <c r="T95" s="20" t="s">
        <v>66</v>
      </c>
      <c r="U95" s="20"/>
      <c r="V95" s="20" t="s">
        <v>72</v>
      </c>
      <c r="W95" s="20"/>
      <c r="X95" s="20"/>
      <c r="Y95" s="20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>
        <f t="shared" si="2"/>
        <v>65.099999999999994</v>
      </c>
    </row>
    <row r="96" spans="1:48" ht="12.75" customHeight="1" x14ac:dyDescent="0.4">
      <c r="A96" s="14">
        <v>696</v>
      </c>
      <c r="B96" s="19" t="s">
        <v>271</v>
      </c>
      <c r="C96" s="19" t="s">
        <v>61</v>
      </c>
      <c r="D96" s="14">
        <f>Q96+M96+O96+20</f>
        <v>85</v>
      </c>
      <c r="E96" s="21">
        <v>1</v>
      </c>
      <c r="F96" s="21" t="s">
        <v>50</v>
      </c>
      <c r="G96" s="20">
        <v>9</v>
      </c>
      <c r="H96" s="19" t="s">
        <v>62</v>
      </c>
      <c r="I96" s="22">
        <v>0.1</v>
      </c>
      <c r="J96" s="19"/>
      <c r="K96" s="20"/>
      <c r="L96" s="19" t="s">
        <v>272</v>
      </c>
      <c r="M96" s="20">
        <v>25</v>
      </c>
      <c r="N96" s="19" t="s">
        <v>71</v>
      </c>
      <c r="O96" s="20">
        <v>30</v>
      </c>
      <c r="P96" s="20" t="s">
        <v>100</v>
      </c>
      <c r="Q96" s="20">
        <v>10</v>
      </c>
      <c r="R96" s="20" t="s">
        <v>65</v>
      </c>
      <c r="S96" s="20">
        <v>15</v>
      </c>
      <c r="T96" s="20" t="s">
        <v>72</v>
      </c>
      <c r="U96" s="20"/>
      <c r="V96" s="20" t="s">
        <v>66</v>
      </c>
      <c r="W96" s="20"/>
      <c r="X96" s="20"/>
      <c r="Y96" s="20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>
        <f t="shared" si="2"/>
        <v>80.099999999999994</v>
      </c>
    </row>
    <row r="97" spans="1:55" ht="25.5" customHeight="1" x14ac:dyDescent="0.4">
      <c r="A97" s="14">
        <v>694</v>
      </c>
      <c r="B97" s="15" t="s">
        <v>273</v>
      </c>
      <c r="C97" s="15" t="s">
        <v>68</v>
      </c>
      <c r="D97" s="14">
        <f>K97+M97+O97+20</f>
        <v>85</v>
      </c>
      <c r="E97" s="16">
        <v>1</v>
      </c>
      <c r="F97" s="16" t="s">
        <v>50</v>
      </c>
      <c r="G97" s="20">
        <v>9</v>
      </c>
      <c r="H97" s="15" t="s">
        <v>62</v>
      </c>
      <c r="I97" s="22">
        <v>0.1</v>
      </c>
      <c r="J97" s="15" t="s">
        <v>52</v>
      </c>
      <c r="K97" s="14">
        <v>20</v>
      </c>
      <c r="L97" s="15" t="s">
        <v>96</v>
      </c>
      <c r="M97" s="14">
        <v>25</v>
      </c>
      <c r="N97" s="15" t="s">
        <v>64</v>
      </c>
      <c r="O97" s="14">
        <v>20</v>
      </c>
      <c r="P97" s="14" t="s">
        <v>66</v>
      </c>
      <c r="Q97" s="14">
        <v>5</v>
      </c>
      <c r="R97" s="14" t="s">
        <v>72</v>
      </c>
      <c r="S97" s="14">
        <v>3</v>
      </c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>
        <f t="shared" si="2"/>
        <v>73.099999999999994</v>
      </c>
    </row>
    <row r="98" spans="1:55" ht="25.5" customHeight="1" x14ac:dyDescent="0.4">
      <c r="A98" s="14">
        <v>692</v>
      </c>
      <c r="B98" s="19" t="s">
        <v>274</v>
      </c>
      <c r="C98" s="19" t="s">
        <v>61</v>
      </c>
      <c r="D98" s="14">
        <f>K98+M98+O98+Q98+S98+U98+20</f>
        <v>95</v>
      </c>
      <c r="E98" s="21">
        <v>1</v>
      </c>
      <c r="F98" s="21" t="s">
        <v>50</v>
      </c>
      <c r="G98" s="20">
        <v>9</v>
      </c>
      <c r="H98" s="15" t="s">
        <v>62</v>
      </c>
      <c r="I98" s="22">
        <v>0.1</v>
      </c>
      <c r="J98" s="19"/>
      <c r="K98" s="20"/>
      <c r="L98" s="19" t="s">
        <v>272</v>
      </c>
      <c r="M98" s="20">
        <v>25</v>
      </c>
      <c r="N98" s="19" t="s">
        <v>98</v>
      </c>
      <c r="O98" s="20">
        <v>15</v>
      </c>
      <c r="P98" s="20" t="s">
        <v>96</v>
      </c>
      <c r="Q98" s="20">
        <v>15</v>
      </c>
      <c r="R98" s="20" t="s">
        <v>100</v>
      </c>
      <c r="S98" s="20">
        <v>10</v>
      </c>
      <c r="T98" s="20" t="s">
        <v>64</v>
      </c>
      <c r="U98" s="20">
        <v>10</v>
      </c>
      <c r="V98" s="20" t="s">
        <v>72</v>
      </c>
      <c r="W98" s="20"/>
      <c r="X98" s="20" t="s">
        <v>66</v>
      </c>
      <c r="Y98" s="20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>
        <f t="shared" si="2"/>
        <v>75.099999999999994</v>
      </c>
    </row>
    <row r="99" spans="1:55" ht="25.5" customHeight="1" x14ac:dyDescent="0.4">
      <c r="A99" s="14">
        <v>685</v>
      </c>
      <c r="B99" s="20" t="s">
        <v>275</v>
      </c>
      <c r="C99" s="19" t="s">
        <v>61</v>
      </c>
      <c r="D99" s="14">
        <f>K99+M99+O99+20</f>
        <v>85</v>
      </c>
      <c r="E99" s="21"/>
      <c r="F99" s="21" t="s">
        <v>50</v>
      </c>
      <c r="G99" s="20">
        <v>9</v>
      </c>
      <c r="H99" s="19" t="s">
        <v>62</v>
      </c>
      <c r="I99" s="22">
        <v>0.1</v>
      </c>
      <c r="J99" s="19" t="s">
        <v>276</v>
      </c>
      <c r="K99" s="20">
        <v>45</v>
      </c>
      <c r="L99" s="19" t="s">
        <v>266</v>
      </c>
      <c r="M99" s="20">
        <v>15</v>
      </c>
      <c r="N99" s="19" t="s">
        <v>270</v>
      </c>
      <c r="O99" s="20">
        <v>5</v>
      </c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>
        <f t="shared" si="2"/>
        <v>65.099999999999994</v>
      </c>
    </row>
    <row r="100" spans="1:55" ht="25.5" customHeight="1" x14ac:dyDescent="0.4">
      <c r="A100" s="11">
        <v>684</v>
      </c>
      <c r="B100" s="1" t="s">
        <v>277</v>
      </c>
      <c r="C100" s="1" t="s">
        <v>125</v>
      </c>
      <c r="D100" s="11">
        <f>K100+M100+O100+10</f>
        <v>41</v>
      </c>
      <c r="E100" s="12">
        <v>1</v>
      </c>
      <c r="F100" s="12" t="s">
        <v>50</v>
      </c>
      <c r="G100" s="11">
        <v>30</v>
      </c>
      <c r="H100" s="7" t="s">
        <v>126</v>
      </c>
      <c r="I100" s="36">
        <v>0.1</v>
      </c>
      <c r="J100" s="1" t="s">
        <v>52</v>
      </c>
      <c r="K100" s="11">
        <v>10</v>
      </c>
      <c r="L100" s="1" t="s">
        <v>237</v>
      </c>
      <c r="M100" s="11">
        <v>15</v>
      </c>
      <c r="N100" s="1" t="s">
        <v>157</v>
      </c>
      <c r="O100" s="11">
        <v>6</v>
      </c>
      <c r="P100" s="11" t="s">
        <v>66</v>
      </c>
      <c r="Q100" s="11">
        <v>5</v>
      </c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5">
        <f t="shared" si="2"/>
        <v>36.1</v>
      </c>
      <c r="AW100" s="11"/>
      <c r="AX100" s="11"/>
      <c r="AY100" s="11"/>
    </row>
    <row r="101" spans="1:55" ht="25.5" customHeight="1" x14ac:dyDescent="0.4">
      <c r="A101" s="6">
        <v>683</v>
      </c>
      <c r="B101" s="7" t="s">
        <v>278</v>
      </c>
      <c r="C101" s="7" t="s">
        <v>279</v>
      </c>
      <c r="D101" s="8">
        <f>M101+Q101+S101+O101</f>
        <v>115</v>
      </c>
      <c r="E101" s="37">
        <v>1</v>
      </c>
      <c r="F101" s="37" t="s">
        <v>50</v>
      </c>
      <c r="G101" s="7">
        <v>11</v>
      </c>
      <c r="H101" s="7"/>
      <c r="I101" s="38"/>
      <c r="J101" s="7"/>
      <c r="K101" s="39"/>
      <c r="L101" s="7" t="s">
        <v>222</v>
      </c>
      <c r="M101" s="7">
        <v>30</v>
      </c>
      <c r="N101" s="7" t="s">
        <v>280</v>
      </c>
      <c r="O101" s="7">
        <v>50</v>
      </c>
      <c r="P101" s="7" t="s">
        <v>281</v>
      </c>
      <c r="Q101" s="7">
        <v>20</v>
      </c>
      <c r="R101" s="7" t="s">
        <v>218</v>
      </c>
      <c r="S101" s="7">
        <v>15</v>
      </c>
      <c r="T101" s="7" t="s">
        <v>128</v>
      </c>
      <c r="U101" s="7">
        <v>5</v>
      </c>
      <c r="V101" s="7" t="s">
        <v>282</v>
      </c>
      <c r="W101" s="7"/>
      <c r="X101" s="7"/>
      <c r="Y101" s="7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>
        <f t="shared" si="2"/>
        <v>120</v>
      </c>
      <c r="AW101" s="39"/>
      <c r="AX101" s="39"/>
      <c r="AY101" s="39"/>
    </row>
    <row r="102" spans="1:55" ht="25.5" customHeight="1" x14ac:dyDescent="0.4">
      <c r="A102" s="6">
        <v>682</v>
      </c>
      <c r="B102" s="7" t="s">
        <v>283</v>
      </c>
      <c r="C102" s="7" t="s">
        <v>162</v>
      </c>
      <c r="D102" s="8">
        <f>K102+M102+12</f>
        <v>42</v>
      </c>
      <c r="E102" s="9">
        <v>1</v>
      </c>
      <c r="F102" s="9" t="s">
        <v>50</v>
      </c>
      <c r="G102" s="8">
        <v>24</v>
      </c>
      <c r="H102" s="29" t="s">
        <v>214</v>
      </c>
      <c r="I102" s="10">
        <v>1</v>
      </c>
      <c r="J102" s="7" t="s">
        <v>284</v>
      </c>
      <c r="K102" s="8">
        <v>25</v>
      </c>
      <c r="L102" s="7" t="s">
        <v>285</v>
      </c>
      <c r="M102" s="8">
        <v>5</v>
      </c>
      <c r="N102" s="7"/>
      <c r="O102" s="8"/>
      <c r="P102" s="7"/>
      <c r="Q102" s="8"/>
      <c r="R102" s="8"/>
      <c r="S102" s="8"/>
      <c r="T102" s="7"/>
      <c r="U102" s="8"/>
      <c r="V102" s="8"/>
      <c r="W102" s="8"/>
      <c r="X102" s="8"/>
      <c r="Y102" s="8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>
        <f t="shared" si="2"/>
        <v>31</v>
      </c>
    </row>
    <row r="103" spans="1:55" ht="25.5" customHeight="1" x14ac:dyDescent="0.4">
      <c r="A103" s="11">
        <v>681</v>
      </c>
      <c r="B103" s="42" t="s">
        <v>286</v>
      </c>
      <c r="C103" s="42" t="s">
        <v>49</v>
      </c>
      <c r="D103" s="42">
        <f>M103+O103+Q103+S103</f>
        <v>65</v>
      </c>
      <c r="E103" s="43">
        <v>1</v>
      </c>
      <c r="F103" s="43" t="s">
        <v>50</v>
      </c>
      <c r="G103" s="42">
        <v>24</v>
      </c>
      <c r="I103" s="44"/>
      <c r="J103" s="42"/>
      <c r="K103" s="42"/>
      <c r="L103" s="42" t="s">
        <v>287</v>
      </c>
      <c r="M103" s="42">
        <v>30</v>
      </c>
      <c r="N103" s="42" t="s">
        <v>83</v>
      </c>
      <c r="O103" s="42">
        <v>20</v>
      </c>
      <c r="P103" s="42" t="s">
        <v>84</v>
      </c>
      <c r="Q103" s="42">
        <v>5</v>
      </c>
      <c r="R103" s="42" t="s">
        <v>160</v>
      </c>
      <c r="S103" s="42">
        <v>10</v>
      </c>
      <c r="T103" s="42" t="s">
        <v>72</v>
      </c>
      <c r="U103" s="42"/>
      <c r="V103" s="42"/>
      <c r="W103" s="42"/>
      <c r="X103" s="42"/>
      <c r="Y103" s="42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5">
        <f t="shared" si="2"/>
        <v>65</v>
      </c>
    </row>
    <row r="104" spans="1:55" ht="25.5" customHeight="1" x14ac:dyDescent="0.4">
      <c r="A104" s="23">
        <v>680</v>
      </c>
      <c r="B104" s="45" t="s">
        <v>288</v>
      </c>
      <c r="C104" s="45" t="s">
        <v>49</v>
      </c>
      <c r="D104" s="45">
        <f>M104+O104+Q104+S104</f>
        <v>50</v>
      </c>
      <c r="E104" s="46">
        <v>1</v>
      </c>
      <c r="F104" s="46" t="s">
        <v>50</v>
      </c>
      <c r="G104" s="45">
        <v>24</v>
      </c>
      <c r="H104" s="45"/>
      <c r="I104" s="47"/>
      <c r="J104" s="45"/>
      <c r="K104" s="45"/>
      <c r="L104" s="45" t="s">
        <v>289</v>
      </c>
      <c r="M104" s="45">
        <v>30</v>
      </c>
      <c r="N104" s="45" t="s">
        <v>83</v>
      </c>
      <c r="O104" s="45">
        <v>20</v>
      </c>
      <c r="P104" s="45"/>
      <c r="Q104" s="45"/>
      <c r="R104" s="45"/>
      <c r="S104" s="45"/>
      <c r="T104" s="45"/>
      <c r="U104" s="45">
        <v>5</v>
      </c>
      <c r="V104" s="45"/>
      <c r="W104" s="45"/>
      <c r="X104" s="45"/>
      <c r="Y104" s="45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>
        <f t="shared" si="2"/>
        <v>55</v>
      </c>
      <c r="AW104" s="1"/>
      <c r="AX104" s="1"/>
      <c r="AY104" s="1"/>
      <c r="AZ104" s="1"/>
      <c r="BA104" s="1"/>
      <c r="BB104" s="1"/>
      <c r="BC104" s="1"/>
    </row>
    <row r="105" spans="1:55" ht="25.5" customHeight="1" x14ac:dyDescent="0.4">
      <c r="A105" s="1">
        <v>679</v>
      </c>
      <c r="B105" s="1" t="s">
        <v>290</v>
      </c>
      <c r="C105" s="1" t="s">
        <v>49</v>
      </c>
      <c r="D105" s="11">
        <f t="shared" ref="D105:D112" si="3">K105+M105+O105+Q105</f>
        <v>25</v>
      </c>
      <c r="E105" s="12">
        <v>1</v>
      </c>
      <c r="F105" s="12" t="s">
        <v>50</v>
      </c>
      <c r="G105" s="11">
        <v>24</v>
      </c>
      <c r="H105" s="48" t="s">
        <v>291</v>
      </c>
      <c r="I105" s="13">
        <v>0.1</v>
      </c>
      <c r="J105" s="1" t="s">
        <v>52</v>
      </c>
      <c r="K105" s="11">
        <v>5</v>
      </c>
      <c r="L105" s="1" t="s">
        <v>108</v>
      </c>
      <c r="M105" s="11">
        <v>5</v>
      </c>
      <c r="N105" s="1" t="s">
        <v>157</v>
      </c>
      <c r="O105" s="11">
        <v>10</v>
      </c>
      <c r="P105" s="1" t="s">
        <v>292</v>
      </c>
      <c r="Q105" s="11">
        <v>5</v>
      </c>
      <c r="R105" s="11" t="s">
        <v>72</v>
      </c>
      <c r="S105" s="11">
        <v>3</v>
      </c>
      <c r="T105" s="11"/>
      <c r="U105" s="11"/>
      <c r="V105" s="11"/>
      <c r="W105" s="11"/>
      <c r="X105" s="11"/>
      <c r="Y105" s="1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5">
        <f t="shared" si="2"/>
        <v>28.1</v>
      </c>
      <c r="AW105" s="1"/>
      <c r="AX105" s="1"/>
      <c r="AY105" s="1"/>
      <c r="AZ105" s="1"/>
      <c r="BA105" s="1"/>
      <c r="BB105" s="1"/>
      <c r="BC105" s="1"/>
    </row>
    <row r="106" spans="1:55" ht="25.5" customHeight="1" x14ac:dyDescent="0.4">
      <c r="A106" s="23">
        <v>678</v>
      </c>
      <c r="B106" s="23" t="s">
        <v>293</v>
      </c>
      <c r="C106" s="23" t="s">
        <v>49</v>
      </c>
      <c r="D106" s="6">
        <f t="shared" si="3"/>
        <v>20</v>
      </c>
      <c r="E106" s="24">
        <v>1</v>
      </c>
      <c r="F106" s="24" t="s">
        <v>50</v>
      </c>
      <c r="G106" s="6">
        <v>24</v>
      </c>
      <c r="H106" s="23" t="s">
        <v>291</v>
      </c>
      <c r="I106" s="25">
        <v>0.1</v>
      </c>
      <c r="J106" s="23" t="s">
        <v>52</v>
      </c>
      <c r="K106" s="6">
        <v>5</v>
      </c>
      <c r="L106" s="23" t="s">
        <v>237</v>
      </c>
      <c r="M106" s="6">
        <v>7</v>
      </c>
      <c r="N106" s="23" t="s">
        <v>294</v>
      </c>
      <c r="O106" s="6">
        <v>5</v>
      </c>
      <c r="P106" s="23" t="s">
        <v>72</v>
      </c>
      <c r="Q106" s="6">
        <v>3</v>
      </c>
      <c r="R106" s="6"/>
      <c r="S106" s="6"/>
      <c r="T106" s="6"/>
      <c r="U106" s="6"/>
      <c r="V106" s="6"/>
      <c r="W106" s="6"/>
      <c r="X106" s="6"/>
      <c r="Y106" s="6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>
        <f t="shared" si="2"/>
        <v>20.100000000000001</v>
      </c>
      <c r="AW106" s="18"/>
      <c r="AX106" s="18"/>
      <c r="AY106" s="18"/>
      <c r="AZ106" s="18"/>
      <c r="BA106" s="18"/>
      <c r="BB106" s="18"/>
      <c r="BC106" s="18"/>
    </row>
    <row r="107" spans="1:55" ht="25.5" customHeight="1" x14ac:dyDescent="0.4">
      <c r="A107" s="15">
        <v>677</v>
      </c>
      <c r="B107" s="15" t="s">
        <v>295</v>
      </c>
      <c r="C107" s="15" t="s">
        <v>49</v>
      </c>
      <c r="D107" s="14">
        <f t="shared" si="3"/>
        <v>25</v>
      </c>
      <c r="E107" s="16">
        <v>1</v>
      </c>
      <c r="F107" s="16" t="s">
        <v>50</v>
      </c>
      <c r="G107" s="14">
        <v>24</v>
      </c>
      <c r="H107" s="15" t="s">
        <v>291</v>
      </c>
      <c r="I107" s="17">
        <v>0.1</v>
      </c>
      <c r="J107" s="15" t="s">
        <v>52</v>
      </c>
      <c r="K107" s="14">
        <v>5</v>
      </c>
      <c r="L107" s="15" t="s">
        <v>89</v>
      </c>
      <c r="M107" s="14">
        <v>10</v>
      </c>
      <c r="N107" s="15" t="s">
        <v>65</v>
      </c>
      <c r="O107" s="14">
        <v>5</v>
      </c>
      <c r="P107" s="15" t="s">
        <v>87</v>
      </c>
      <c r="Q107" s="14">
        <v>5</v>
      </c>
      <c r="R107" s="14" t="s">
        <v>72</v>
      </c>
      <c r="S107" s="14">
        <v>3</v>
      </c>
      <c r="T107" s="14"/>
      <c r="U107" s="14"/>
      <c r="V107" s="14"/>
      <c r="W107" s="14"/>
      <c r="X107" s="14"/>
      <c r="Y107" s="1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>
        <f t="shared" si="2"/>
        <v>28.1</v>
      </c>
      <c r="AW107" s="18"/>
      <c r="AX107" s="18"/>
      <c r="AY107" s="18"/>
      <c r="AZ107" s="18"/>
      <c r="BA107" s="18"/>
      <c r="BB107" s="18"/>
      <c r="BC107" s="18"/>
    </row>
    <row r="108" spans="1:55" ht="25.5" customHeight="1" x14ac:dyDescent="0.4">
      <c r="A108" s="14">
        <v>676</v>
      </c>
      <c r="B108" s="15" t="s">
        <v>296</v>
      </c>
      <c r="C108" s="15" t="s">
        <v>49</v>
      </c>
      <c r="D108" s="14">
        <f t="shared" si="3"/>
        <v>23</v>
      </c>
      <c r="E108" s="16">
        <v>1</v>
      </c>
      <c r="F108" s="16" t="s">
        <v>50</v>
      </c>
      <c r="G108" s="14">
        <v>24</v>
      </c>
      <c r="H108" s="15" t="s">
        <v>291</v>
      </c>
      <c r="I108" s="17">
        <v>0.1</v>
      </c>
      <c r="J108" s="15" t="s">
        <v>52</v>
      </c>
      <c r="K108" s="14">
        <v>5</v>
      </c>
      <c r="L108" s="15" t="s">
        <v>79</v>
      </c>
      <c r="M108" s="14">
        <v>5</v>
      </c>
      <c r="N108" s="15" t="s">
        <v>297</v>
      </c>
      <c r="O108" s="14">
        <v>10</v>
      </c>
      <c r="P108" s="15" t="s">
        <v>298</v>
      </c>
      <c r="Q108" s="14">
        <v>3</v>
      </c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>
        <f t="shared" si="2"/>
        <v>23.1</v>
      </c>
      <c r="AW108" s="49"/>
      <c r="AX108"/>
      <c r="AY108"/>
      <c r="AZ108"/>
      <c r="BA108"/>
      <c r="BB108"/>
      <c r="BC108"/>
    </row>
    <row r="109" spans="1:55" ht="25.5" customHeight="1" x14ac:dyDescent="0.4">
      <c r="A109" s="14">
        <v>675</v>
      </c>
      <c r="B109" s="15" t="s">
        <v>299</v>
      </c>
      <c r="C109" s="15" t="s">
        <v>49</v>
      </c>
      <c r="D109" s="14">
        <f t="shared" si="3"/>
        <v>26</v>
      </c>
      <c r="E109" s="16">
        <v>1</v>
      </c>
      <c r="F109" s="16" t="s">
        <v>50</v>
      </c>
      <c r="G109" s="14">
        <v>24</v>
      </c>
      <c r="H109" s="15" t="s">
        <v>291</v>
      </c>
      <c r="I109" s="17">
        <v>0.1</v>
      </c>
      <c r="J109" s="15" t="s">
        <v>52</v>
      </c>
      <c r="K109" s="14">
        <v>5</v>
      </c>
      <c r="L109" s="15" t="s">
        <v>127</v>
      </c>
      <c r="M109" s="14">
        <v>15</v>
      </c>
      <c r="N109" s="15" t="s">
        <v>285</v>
      </c>
      <c r="O109" s="14">
        <v>3</v>
      </c>
      <c r="P109" s="15" t="s">
        <v>72</v>
      </c>
      <c r="Q109" s="14">
        <v>3</v>
      </c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>
        <f t="shared" si="2"/>
        <v>26.1</v>
      </c>
      <c r="AW109" s="14"/>
    </row>
    <row r="110" spans="1:55" ht="25.5" customHeight="1" x14ac:dyDescent="0.4">
      <c r="A110" s="14">
        <v>674</v>
      </c>
      <c r="B110" s="15" t="s">
        <v>300</v>
      </c>
      <c r="C110" s="15" t="s">
        <v>49</v>
      </c>
      <c r="D110" s="14">
        <f t="shared" si="3"/>
        <v>30</v>
      </c>
      <c r="E110" s="16">
        <v>1</v>
      </c>
      <c r="F110" s="16" t="s">
        <v>50</v>
      </c>
      <c r="G110" s="14">
        <v>24</v>
      </c>
      <c r="H110" s="1" t="s">
        <v>291</v>
      </c>
      <c r="I110" s="17">
        <v>0.1</v>
      </c>
      <c r="J110" s="15" t="s">
        <v>52</v>
      </c>
      <c r="K110" s="14">
        <v>5</v>
      </c>
      <c r="L110" s="15" t="s">
        <v>301</v>
      </c>
      <c r="M110" s="14">
        <v>15</v>
      </c>
      <c r="N110" s="15" t="s">
        <v>72</v>
      </c>
      <c r="O110" s="14">
        <v>10</v>
      </c>
      <c r="P110" s="15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>
        <f t="shared" si="2"/>
        <v>30.1</v>
      </c>
      <c r="AW110" s="26"/>
    </row>
    <row r="111" spans="1:55" ht="25.5" customHeight="1" x14ac:dyDescent="0.4">
      <c r="A111" s="11">
        <v>673</v>
      </c>
      <c r="B111" s="1" t="s">
        <v>302</v>
      </c>
      <c r="C111" s="1" t="s">
        <v>49</v>
      </c>
      <c r="D111" s="11">
        <f t="shared" si="3"/>
        <v>25</v>
      </c>
      <c r="E111" s="12">
        <v>1</v>
      </c>
      <c r="F111" s="12" t="s">
        <v>50</v>
      </c>
      <c r="G111" s="11">
        <v>24</v>
      </c>
      <c r="H111" s="1" t="s">
        <v>291</v>
      </c>
      <c r="I111" s="13">
        <v>0.1</v>
      </c>
      <c r="J111" s="1" t="s">
        <v>52</v>
      </c>
      <c r="K111" s="11">
        <v>5</v>
      </c>
      <c r="L111" s="1" t="s">
        <v>303</v>
      </c>
      <c r="M111" s="11">
        <v>10</v>
      </c>
      <c r="N111" s="1" t="s">
        <v>72</v>
      </c>
      <c r="O111" s="11">
        <v>10</v>
      </c>
      <c r="P111" s="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5">
        <f t="shared" si="2"/>
        <v>25.1</v>
      </c>
    </row>
    <row r="112" spans="1:55" ht="25.5" customHeight="1" x14ac:dyDescent="0.4">
      <c r="A112" s="11">
        <v>672</v>
      </c>
      <c r="B112" s="1" t="s">
        <v>304</v>
      </c>
      <c r="C112" s="1" t="s">
        <v>49</v>
      </c>
      <c r="D112" s="11">
        <f t="shared" si="3"/>
        <v>25</v>
      </c>
      <c r="E112" s="12">
        <v>1</v>
      </c>
      <c r="F112" s="12" t="s">
        <v>50</v>
      </c>
      <c r="G112" s="11">
        <v>24</v>
      </c>
      <c r="H112" s="23" t="s">
        <v>291</v>
      </c>
      <c r="I112" s="13">
        <v>0.1</v>
      </c>
      <c r="J112" s="1" t="s">
        <v>52</v>
      </c>
      <c r="K112" s="11">
        <v>5</v>
      </c>
      <c r="L112" s="1" t="s">
        <v>111</v>
      </c>
      <c r="M112" s="11">
        <v>10</v>
      </c>
      <c r="N112" s="1" t="s">
        <v>294</v>
      </c>
      <c r="O112" s="11">
        <v>5</v>
      </c>
      <c r="P112" s="1" t="s">
        <v>87</v>
      </c>
      <c r="Q112" s="11">
        <v>5</v>
      </c>
      <c r="R112" s="11" t="s">
        <v>72</v>
      </c>
      <c r="S112" s="11">
        <v>3</v>
      </c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5">
        <f t="shared" si="2"/>
        <v>28.1</v>
      </c>
    </row>
    <row r="113" spans="1:55" ht="25.5" customHeight="1" x14ac:dyDescent="0.4">
      <c r="A113" s="45">
        <v>671</v>
      </c>
      <c r="B113" s="7" t="s">
        <v>305</v>
      </c>
      <c r="C113" s="7" t="s">
        <v>162</v>
      </c>
      <c r="D113" s="8">
        <f>M113+Q113+U113+O113</f>
        <v>125</v>
      </c>
      <c r="E113" s="9">
        <v>1</v>
      </c>
      <c r="F113" s="9" t="s">
        <v>50</v>
      </c>
      <c r="G113" s="7">
        <v>11</v>
      </c>
      <c r="H113" s="19"/>
      <c r="I113" s="10"/>
      <c r="J113" s="7"/>
      <c r="K113" s="39"/>
      <c r="L113" s="7" t="s">
        <v>222</v>
      </c>
      <c r="M113" s="7">
        <v>80</v>
      </c>
      <c r="N113" s="8" t="s">
        <v>167</v>
      </c>
      <c r="O113" s="7">
        <v>5</v>
      </c>
      <c r="P113" s="7" t="s">
        <v>220</v>
      </c>
      <c r="Q113" s="8">
        <v>20</v>
      </c>
      <c r="R113" s="8" t="s">
        <v>306</v>
      </c>
      <c r="S113" s="8">
        <v>15</v>
      </c>
      <c r="T113" s="8" t="s">
        <v>219</v>
      </c>
      <c r="U113" s="8">
        <v>20</v>
      </c>
      <c r="V113" s="8"/>
      <c r="W113" s="8"/>
      <c r="X113" s="8"/>
      <c r="Y113" s="8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>
        <f t="shared" si="2"/>
        <v>140</v>
      </c>
      <c r="AW113" s="42"/>
      <c r="AX113" s="42"/>
      <c r="AY113" s="42"/>
      <c r="AZ113" s="42"/>
      <c r="BA113" s="42"/>
      <c r="BB113" s="42"/>
      <c r="BC113" s="42"/>
    </row>
    <row r="114" spans="1:55" ht="25.5" customHeight="1" x14ac:dyDescent="0.4">
      <c r="A114" s="50">
        <v>670</v>
      </c>
      <c r="B114" s="19" t="s">
        <v>307</v>
      </c>
      <c r="C114" s="19" t="s">
        <v>61</v>
      </c>
      <c r="D114" s="20">
        <f>K114+M114+O114+20</f>
        <v>90</v>
      </c>
      <c r="E114" s="21">
        <v>1</v>
      </c>
      <c r="F114" s="21" t="s">
        <v>50</v>
      </c>
      <c r="G114" s="20">
        <v>9</v>
      </c>
      <c r="H114" s="19" t="s">
        <v>62</v>
      </c>
      <c r="I114" s="17">
        <v>0.1</v>
      </c>
      <c r="J114" s="19"/>
      <c r="K114" s="20"/>
      <c r="L114" s="19" t="s">
        <v>308</v>
      </c>
      <c r="M114" s="20">
        <v>60</v>
      </c>
      <c r="N114" s="19" t="s">
        <v>123</v>
      </c>
      <c r="O114" s="20">
        <v>10</v>
      </c>
      <c r="P114" s="20" t="s">
        <v>65</v>
      </c>
      <c r="Q114" s="20">
        <v>20</v>
      </c>
      <c r="R114" s="20" t="s">
        <v>66</v>
      </c>
      <c r="S114" s="20">
        <v>5</v>
      </c>
      <c r="T114" s="20"/>
      <c r="U114" s="20"/>
      <c r="V114" s="20"/>
      <c r="W114" s="20"/>
      <c r="X114" s="20"/>
      <c r="Y114" s="2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>
        <f t="shared" si="2"/>
        <v>95.1</v>
      </c>
      <c r="AW114" s="50"/>
      <c r="AX114" s="51"/>
      <c r="AY114" s="51"/>
      <c r="AZ114" s="51"/>
      <c r="BA114" s="51"/>
      <c r="BB114" s="51"/>
      <c r="BC114" s="51"/>
    </row>
    <row r="115" spans="1:55" ht="12.75" customHeight="1" x14ac:dyDescent="0.4">
      <c r="A115" s="14">
        <v>669</v>
      </c>
      <c r="B115" s="15" t="s">
        <v>309</v>
      </c>
      <c r="C115" s="15" t="s">
        <v>118</v>
      </c>
      <c r="D115" s="15">
        <f>M115+O115+S115+Q115</f>
        <v>500</v>
      </c>
      <c r="E115" s="31">
        <v>1</v>
      </c>
      <c r="F115" s="31" t="s">
        <v>50</v>
      </c>
      <c r="G115" s="15">
        <v>1</v>
      </c>
      <c r="H115" s="15"/>
      <c r="I115" s="32"/>
      <c r="J115" s="15"/>
      <c r="K115" s="15"/>
      <c r="L115" s="15" t="s">
        <v>308</v>
      </c>
      <c r="M115" s="15">
        <v>250</v>
      </c>
      <c r="N115" s="15" t="s">
        <v>310</v>
      </c>
      <c r="O115" s="15">
        <v>100</v>
      </c>
      <c r="P115" s="15" t="s">
        <v>90</v>
      </c>
      <c r="Q115" s="15">
        <v>125</v>
      </c>
      <c r="R115" s="15" t="s">
        <v>123</v>
      </c>
      <c r="S115" s="15">
        <v>25</v>
      </c>
      <c r="T115" s="15" t="s">
        <v>65</v>
      </c>
      <c r="U115" s="15"/>
      <c r="V115" s="15"/>
      <c r="W115" s="15"/>
      <c r="X115" s="15"/>
      <c r="Y115" s="15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>
        <f t="shared" si="2"/>
        <v>500</v>
      </c>
      <c r="AW115" s="26"/>
      <c r="AX115"/>
      <c r="AY115"/>
      <c r="AZ115"/>
      <c r="BA115"/>
      <c r="BB115"/>
      <c r="BC115"/>
    </row>
    <row r="116" spans="1:55" ht="25.5" customHeight="1" x14ac:dyDescent="0.4">
      <c r="A116" s="15">
        <v>668</v>
      </c>
      <c r="B116" s="15" t="s">
        <v>311</v>
      </c>
      <c r="C116" s="15" t="s">
        <v>312</v>
      </c>
      <c r="D116" s="14"/>
      <c r="E116" s="16">
        <v>1</v>
      </c>
      <c r="F116" s="16" t="s">
        <v>50</v>
      </c>
      <c r="G116" s="14"/>
      <c r="H116" s="1"/>
      <c r="I116" s="17"/>
      <c r="J116" s="15"/>
      <c r="K116" s="14"/>
      <c r="L116" s="15"/>
      <c r="M116" s="14"/>
      <c r="N116" s="15"/>
      <c r="O116" s="14"/>
      <c r="P116" s="15"/>
      <c r="Q116" s="14"/>
      <c r="R116" s="14"/>
      <c r="S116" s="14"/>
      <c r="T116" s="15"/>
      <c r="U116" s="14"/>
      <c r="V116" s="14"/>
      <c r="W116" s="14"/>
      <c r="X116" s="14"/>
      <c r="Y116" s="14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>
        <f t="shared" si="2"/>
        <v>0</v>
      </c>
      <c r="AW116" s="1"/>
      <c r="AX116" s="1"/>
      <c r="AY116" s="1"/>
      <c r="AZ116" s="1"/>
      <c r="BA116" s="1"/>
      <c r="BB116" s="1"/>
      <c r="BC116" s="1"/>
    </row>
    <row r="117" spans="1:55" ht="12.75" customHeight="1" x14ac:dyDescent="0.4">
      <c r="A117" s="11">
        <v>667</v>
      </c>
      <c r="B117" s="1" t="s">
        <v>313</v>
      </c>
      <c r="C117" s="1" t="s">
        <v>49</v>
      </c>
      <c r="D117" s="11">
        <v>50</v>
      </c>
      <c r="E117" s="12">
        <v>1</v>
      </c>
      <c r="F117" s="12" t="s">
        <v>50</v>
      </c>
      <c r="G117" s="11">
        <v>24</v>
      </c>
      <c r="H117" s="23"/>
      <c r="I117" s="13"/>
      <c r="J117" s="1"/>
      <c r="K117" s="11"/>
      <c r="L117" s="1" t="s">
        <v>301</v>
      </c>
      <c r="M117" s="11">
        <v>25</v>
      </c>
      <c r="N117" s="1" t="s">
        <v>294</v>
      </c>
      <c r="O117" s="11"/>
      <c r="P117" s="1" t="s">
        <v>222</v>
      </c>
      <c r="Q117" s="11">
        <v>25</v>
      </c>
      <c r="R117" s="11" t="s">
        <v>314</v>
      </c>
      <c r="S117" s="11">
        <v>5</v>
      </c>
      <c r="T117" s="11" t="s">
        <v>315</v>
      </c>
      <c r="U117" s="11">
        <v>15</v>
      </c>
      <c r="V117" s="11" t="s">
        <v>316</v>
      </c>
      <c r="W117" s="11"/>
      <c r="X117" s="11" t="s">
        <v>232</v>
      </c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5">
        <f t="shared" si="2"/>
        <v>70</v>
      </c>
    </row>
    <row r="118" spans="1:55" ht="12.75" customHeight="1" x14ac:dyDescent="0.4">
      <c r="A118" s="52">
        <v>666</v>
      </c>
      <c r="B118" s="23" t="s">
        <v>317</v>
      </c>
      <c r="C118" s="23" t="s">
        <v>49</v>
      </c>
      <c r="D118" s="23">
        <f>M118+O118</f>
        <v>30</v>
      </c>
      <c r="E118" s="53">
        <v>1</v>
      </c>
      <c r="F118" s="53" t="s">
        <v>50</v>
      </c>
      <c r="G118" s="23">
        <v>24</v>
      </c>
      <c r="H118" s="15"/>
      <c r="I118" s="54"/>
      <c r="J118" s="23"/>
      <c r="K118" s="23"/>
      <c r="L118" s="23" t="s">
        <v>318</v>
      </c>
      <c r="M118" s="23">
        <v>10</v>
      </c>
      <c r="N118" s="23" t="s">
        <v>301</v>
      </c>
      <c r="O118" s="23">
        <v>20</v>
      </c>
      <c r="P118" s="23" t="s">
        <v>319</v>
      </c>
      <c r="Q118" s="23">
        <v>5</v>
      </c>
      <c r="R118" s="23" t="s">
        <v>87</v>
      </c>
      <c r="S118" s="23">
        <v>5</v>
      </c>
      <c r="T118" s="23" t="s">
        <v>66</v>
      </c>
      <c r="U118" s="23"/>
      <c r="V118" s="23"/>
      <c r="W118" s="23"/>
      <c r="X118" s="23"/>
      <c r="Y118" s="23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>
        <f t="shared" si="2"/>
        <v>40</v>
      </c>
      <c r="AW118" s="55"/>
      <c r="AX118" s="55"/>
      <c r="AY118" s="55"/>
      <c r="AZ118" s="55"/>
      <c r="BA118" s="55"/>
      <c r="BB118" s="55"/>
      <c r="BC118" s="55"/>
    </row>
    <row r="119" spans="1:55" ht="25.5" customHeight="1" x14ac:dyDescent="0.4">
      <c r="A119" s="20">
        <v>665</v>
      </c>
      <c r="B119" s="15" t="s">
        <v>320</v>
      </c>
      <c r="C119" s="15" t="s">
        <v>49</v>
      </c>
      <c r="D119" s="14">
        <f>K119+M119+O119+Q119+15</f>
        <v>50</v>
      </c>
      <c r="E119" s="16">
        <v>1</v>
      </c>
      <c r="F119" s="16" t="s">
        <v>50</v>
      </c>
      <c r="G119" s="14">
        <v>24</v>
      </c>
      <c r="H119" s="15" t="s">
        <v>321</v>
      </c>
      <c r="I119" s="17">
        <v>1</v>
      </c>
      <c r="J119" s="15" t="s">
        <v>52</v>
      </c>
      <c r="K119" s="14">
        <v>10</v>
      </c>
      <c r="L119" s="15" t="s">
        <v>301</v>
      </c>
      <c r="M119" s="14">
        <v>15</v>
      </c>
      <c r="N119" s="15" t="s">
        <v>315</v>
      </c>
      <c r="O119" s="14">
        <v>5</v>
      </c>
      <c r="P119" s="15" t="s">
        <v>90</v>
      </c>
      <c r="Q119" s="14">
        <v>5</v>
      </c>
      <c r="R119" s="14" t="s">
        <v>87</v>
      </c>
      <c r="S119" s="14">
        <v>5</v>
      </c>
      <c r="T119" s="14" t="s">
        <v>91</v>
      </c>
      <c r="U119" s="14">
        <v>5</v>
      </c>
      <c r="V119" s="14"/>
      <c r="W119" s="14"/>
      <c r="X119" s="14"/>
      <c r="Y119" s="14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>
        <f t="shared" si="2"/>
        <v>46</v>
      </c>
      <c r="AW119" s="20"/>
      <c r="AX119" s="30"/>
      <c r="AY119" s="30"/>
      <c r="AZ119" s="30"/>
      <c r="BA119" s="30"/>
      <c r="BB119" s="30"/>
      <c r="BC119" s="30"/>
    </row>
    <row r="120" spans="1:55" ht="25.5" customHeight="1" x14ac:dyDescent="0.4">
      <c r="A120" s="20">
        <v>664</v>
      </c>
      <c r="B120" s="56" t="s">
        <v>322</v>
      </c>
      <c r="C120" s="15" t="s">
        <v>235</v>
      </c>
      <c r="D120" s="15">
        <f>M120+O120+Q120+S120+U120+W120</f>
        <v>2200</v>
      </c>
      <c r="E120" s="31">
        <v>1</v>
      </c>
      <c r="F120" s="31" t="s">
        <v>50</v>
      </c>
      <c r="G120" s="15">
        <v>1</v>
      </c>
      <c r="H120" s="15" t="s">
        <v>126</v>
      </c>
      <c r="I120" s="32">
        <v>2</v>
      </c>
      <c r="J120" s="15"/>
      <c r="K120" s="15"/>
      <c r="L120" s="19" t="s">
        <v>65</v>
      </c>
      <c r="M120" s="19">
        <v>150</v>
      </c>
      <c r="N120" s="19" t="s">
        <v>71</v>
      </c>
      <c r="O120" s="19">
        <v>1000</v>
      </c>
      <c r="P120" s="19" t="s">
        <v>323</v>
      </c>
      <c r="Q120" s="19">
        <v>1000</v>
      </c>
      <c r="R120" s="19" t="s">
        <v>261</v>
      </c>
      <c r="S120" s="19">
        <v>50</v>
      </c>
      <c r="T120" s="19" t="s">
        <v>324</v>
      </c>
      <c r="U120" s="19"/>
      <c r="V120" s="19" t="s">
        <v>325</v>
      </c>
      <c r="W120" s="15"/>
      <c r="X120" s="15" t="s">
        <v>72</v>
      </c>
      <c r="Y120" s="15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>
        <f t="shared" si="2"/>
        <v>2202</v>
      </c>
      <c r="AW120" s="20"/>
      <c r="AX120" s="20"/>
      <c r="AY120" s="20"/>
      <c r="AZ120" s="30"/>
      <c r="BA120" s="30"/>
      <c r="BB120" s="30"/>
      <c r="BC120" s="30"/>
    </row>
    <row r="121" spans="1:55" ht="25.5" customHeight="1" x14ac:dyDescent="0.4">
      <c r="A121" s="20">
        <v>663</v>
      </c>
      <c r="B121" s="15" t="s">
        <v>326</v>
      </c>
      <c r="C121" s="15" t="s">
        <v>49</v>
      </c>
      <c r="D121" s="14">
        <f>M121+Q121+S121</f>
        <v>60</v>
      </c>
      <c r="E121" s="16">
        <v>1</v>
      </c>
      <c r="F121" s="16" t="s">
        <v>50</v>
      </c>
      <c r="G121" s="14">
        <v>24</v>
      </c>
      <c r="H121" s="15"/>
      <c r="I121" s="17"/>
      <c r="J121" s="15"/>
      <c r="K121" s="14"/>
      <c r="L121" s="15" t="s">
        <v>143</v>
      </c>
      <c r="M121" s="14">
        <v>40</v>
      </c>
      <c r="N121" s="15" t="s">
        <v>327</v>
      </c>
      <c r="O121" s="14"/>
      <c r="P121" s="15" t="s">
        <v>157</v>
      </c>
      <c r="Q121" s="14">
        <v>15</v>
      </c>
      <c r="R121" s="14" t="s">
        <v>270</v>
      </c>
      <c r="S121" s="14">
        <v>5</v>
      </c>
      <c r="T121" s="14"/>
      <c r="U121" s="14"/>
      <c r="V121" s="14"/>
      <c r="W121" s="14"/>
      <c r="X121" s="14"/>
      <c r="Y121" s="14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>
        <f t="shared" si="2"/>
        <v>60</v>
      </c>
      <c r="AW121" s="20"/>
      <c r="AX121" s="20"/>
      <c r="AY121" s="20"/>
      <c r="AZ121" s="30"/>
      <c r="BA121" s="30"/>
      <c r="BB121" s="30"/>
      <c r="BC121" s="30"/>
    </row>
    <row r="122" spans="1:55" ht="25.5" customHeight="1" x14ac:dyDescent="0.4">
      <c r="A122" s="57">
        <v>662</v>
      </c>
      <c r="B122" s="15" t="s">
        <v>328</v>
      </c>
      <c r="C122" s="15" t="s">
        <v>49</v>
      </c>
      <c r="D122" s="14">
        <f>K122+M122+O122</f>
        <v>70</v>
      </c>
      <c r="E122" s="16">
        <v>1</v>
      </c>
      <c r="F122" s="16" t="s">
        <v>50</v>
      </c>
      <c r="G122" s="14">
        <v>24</v>
      </c>
      <c r="H122" s="15"/>
      <c r="I122" s="17"/>
      <c r="J122" s="15"/>
      <c r="K122" s="14"/>
      <c r="L122" s="15" t="s">
        <v>143</v>
      </c>
      <c r="M122" s="14">
        <v>50</v>
      </c>
      <c r="N122" s="15" t="s">
        <v>329</v>
      </c>
      <c r="O122" s="14">
        <v>20</v>
      </c>
      <c r="P122" s="15" t="s">
        <v>249</v>
      </c>
      <c r="Q122" s="14">
        <v>5</v>
      </c>
      <c r="R122" s="14" t="s">
        <v>330</v>
      </c>
      <c r="S122" s="14">
        <v>5</v>
      </c>
      <c r="T122" s="15"/>
      <c r="U122" s="14"/>
      <c r="V122" s="14"/>
      <c r="W122" s="14"/>
      <c r="X122" s="14"/>
      <c r="Y122" s="14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>
        <f t="shared" si="2"/>
        <v>80</v>
      </c>
      <c r="AW122" s="57"/>
      <c r="AX122" s="57"/>
      <c r="AY122" s="57"/>
      <c r="AZ122" s="58"/>
      <c r="BA122" s="58"/>
      <c r="BB122" s="58"/>
      <c r="BC122" s="58"/>
    </row>
    <row r="123" spans="1:55" s="59" customFormat="1" ht="12.75" customHeight="1" x14ac:dyDescent="0.4">
      <c r="A123" s="20">
        <v>661</v>
      </c>
      <c r="B123" s="19" t="s">
        <v>331</v>
      </c>
      <c r="C123" s="19" t="s">
        <v>49</v>
      </c>
      <c r="D123" s="20">
        <f>K123+M123+O123+Q123</f>
        <v>70</v>
      </c>
      <c r="E123" s="21">
        <v>1</v>
      </c>
      <c r="F123" s="21" t="s">
        <v>50</v>
      </c>
      <c r="G123" s="14">
        <v>24</v>
      </c>
      <c r="H123" s="19"/>
      <c r="I123" s="22"/>
      <c r="J123" s="19" t="s">
        <v>52</v>
      </c>
      <c r="K123" s="20">
        <v>5</v>
      </c>
      <c r="L123" s="19" t="s">
        <v>332</v>
      </c>
      <c r="M123" s="20">
        <v>50</v>
      </c>
      <c r="N123" s="19" t="s">
        <v>327</v>
      </c>
      <c r="O123" s="20">
        <v>10</v>
      </c>
      <c r="P123" s="19" t="s">
        <v>65</v>
      </c>
      <c r="Q123" s="20">
        <v>5</v>
      </c>
      <c r="R123" s="20" t="s">
        <v>72</v>
      </c>
      <c r="S123" s="20">
        <v>3</v>
      </c>
      <c r="T123" s="19" t="s">
        <v>87</v>
      </c>
      <c r="U123" s="20"/>
      <c r="V123" s="20" t="s">
        <v>91</v>
      </c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>
        <f t="shared" si="2"/>
        <v>73</v>
      </c>
      <c r="AW123" s="20"/>
      <c r="AX123" s="20"/>
      <c r="AY123" s="20"/>
      <c r="AZ123" s="30"/>
      <c r="BA123" s="30"/>
      <c r="BB123" s="30"/>
      <c r="BC123" s="30"/>
    </row>
    <row r="124" spans="1:55" ht="25.5" customHeight="1" x14ac:dyDescent="0.4">
      <c r="A124" s="20">
        <v>660</v>
      </c>
      <c r="B124" s="19" t="s">
        <v>333</v>
      </c>
      <c r="C124" s="19" t="s">
        <v>61</v>
      </c>
      <c r="D124" s="14">
        <f>K124+M124+O124+Q124+20</f>
        <v>85</v>
      </c>
      <c r="E124" s="21">
        <v>1</v>
      </c>
      <c r="F124" s="21" t="s">
        <v>50</v>
      </c>
      <c r="G124" s="20">
        <v>9</v>
      </c>
      <c r="H124" s="19" t="s">
        <v>62</v>
      </c>
      <c r="I124" s="22">
        <v>0.1</v>
      </c>
      <c r="J124" s="19" t="s">
        <v>52</v>
      </c>
      <c r="K124" s="20">
        <v>20</v>
      </c>
      <c r="L124" s="19" t="s">
        <v>89</v>
      </c>
      <c r="M124" s="20">
        <v>25</v>
      </c>
      <c r="N124" s="19" t="s">
        <v>90</v>
      </c>
      <c r="O124" s="20">
        <v>15</v>
      </c>
      <c r="P124" s="20" t="s">
        <v>65</v>
      </c>
      <c r="Q124" s="20">
        <v>5</v>
      </c>
      <c r="R124" s="20" t="s">
        <v>91</v>
      </c>
      <c r="S124" s="20">
        <v>5</v>
      </c>
      <c r="T124" s="20" t="s">
        <v>87</v>
      </c>
      <c r="U124" s="20">
        <v>5</v>
      </c>
      <c r="V124" s="20" t="s">
        <v>72</v>
      </c>
      <c r="W124" s="20">
        <v>5</v>
      </c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>
        <f t="shared" si="2"/>
        <v>80.099999999999994</v>
      </c>
      <c r="AW124" s="20"/>
      <c r="AX124" s="20"/>
      <c r="AY124" s="20"/>
      <c r="AZ124" s="30"/>
      <c r="BA124" s="30"/>
      <c r="BB124" s="30"/>
      <c r="BC124" s="30"/>
    </row>
    <row r="125" spans="1:55" ht="25.5" customHeight="1" x14ac:dyDescent="0.4">
      <c r="A125" s="20">
        <v>659</v>
      </c>
      <c r="B125" s="19" t="s">
        <v>334</v>
      </c>
      <c r="C125" s="19" t="s">
        <v>279</v>
      </c>
      <c r="D125" s="20">
        <f>M125+Q125+U125</f>
        <v>55</v>
      </c>
      <c r="E125" s="21">
        <v>1</v>
      </c>
      <c r="F125" s="21" t="s">
        <v>50</v>
      </c>
      <c r="G125" s="19">
        <v>11</v>
      </c>
      <c r="H125" s="19"/>
      <c r="I125" s="22"/>
      <c r="J125" s="19"/>
      <c r="K125" s="26"/>
      <c r="L125" s="19" t="s">
        <v>222</v>
      </c>
      <c r="M125" s="19">
        <v>30</v>
      </c>
      <c r="N125" s="19" t="s">
        <v>280</v>
      </c>
      <c r="O125" s="19">
        <v>50</v>
      </c>
      <c r="P125" s="20" t="s">
        <v>335</v>
      </c>
      <c r="Q125" s="20">
        <v>20</v>
      </c>
      <c r="R125" s="20" t="s">
        <v>219</v>
      </c>
      <c r="S125" s="20">
        <v>10</v>
      </c>
      <c r="T125" s="20" t="s">
        <v>336</v>
      </c>
      <c r="U125" s="20">
        <v>5</v>
      </c>
      <c r="V125" s="20" t="s">
        <v>337</v>
      </c>
      <c r="W125" s="20">
        <v>5</v>
      </c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>
        <f t="shared" si="2"/>
        <v>120</v>
      </c>
      <c r="AW125" s="20"/>
      <c r="AX125" s="20"/>
      <c r="AY125" s="20"/>
      <c r="AZ125" s="30"/>
      <c r="BA125" s="30"/>
      <c r="BB125" s="30"/>
      <c r="BC125" s="30"/>
    </row>
    <row r="126" spans="1:55" ht="12.75" customHeight="1" x14ac:dyDescent="0.4">
      <c r="A126" s="20">
        <v>658</v>
      </c>
      <c r="B126" s="15" t="s">
        <v>338</v>
      </c>
      <c r="C126" s="15" t="s">
        <v>162</v>
      </c>
      <c r="D126" s="14">
        <f>K126+M126+12</f>
        <v>42</v>
      </c>
      <c r="E126" s="16">
        <v>1</v>
      </c>
      <c r="F126" s="16" t="s">
        <v>50</v>
      </c>
      <c r="G126" s="14">
        <v>24</v>
      </c>
      <c r="H126" s="1" t="s">
        <v>214</v>
      </c>
      <c r="I126" s="17">
        <v>1</v>
      </c>
      <c r="J126" s="15" t="s">
        <v>339</v>
      </c>
      <c r="K126" s="14">
        <v>25</v>
      </c>
      <c r="L126" s="15" t="s">
        <v>340</v>
      </c>
      <c r="M126" s="14">
        <v>5</v>
      </c>
      <c r="N126" s="15"/>
      <c r="O126" s="14"/>
      <c r="P126" s="15"/>
      <c r="Q126" s="14"/>
      <c r="R126" s="14"/>
      <c r="S126" s="14"/>
      <c r="T126" s="15"/>
      <c r="U126" s="14"/>
      <c r="V126" s="14"/>
      <c r="W126" s="14"/>
      <c r="X126" s="14"/>
      <c r="Y126" s="14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>
        <f t="shared" si="2"/>
        <v>31</v>
      </c>
      <c r="AW126" s="20"/>
      <c r="AX126" s="20"/>
      <c r="AY126" s="20"/>
      <c r="AZ126" s="30"/>
      <c r="BA126" s="30"/>
      <c r="BB126" s="30"/>
      <c r="BC126" s="30"/>
    </row>
    <row r="127" spans="1:55" ht="25.5" customHeight="1" x14ac:dyDescent="0.4">
      <c r="A127" s="11">
        <v>657</v>
      </c>
      <c r="B127" s="60" t="s">
        <v>341</v>
      </c>
      <c r="C127" s="60" t="s">
        <v>162</v>
      </c>
      <c r="D127" s="60">
        <f>K127+M127</f>
        <v>60</v>
      </c>
      <c r="E127" s="61">
        <v>1</v>
      </c>
      <c r="F127" s="61" t="s">
        <v>50</v>
      </c>
      <c r="G127" s="62">
        <v>24</v>
      </c>
      <c r="H127" s="60"/>
      <c r="I127" s="63"/>
      <c r="J127" s="60" t="s">
        <v>284</v>
      </c>
      <c r="K127" s="60">
        <v>50</v>
      </c>
      <c r="L127" s="60" t="s">
        <v>285</v>
      </c>
      <c r="M127" s="60">
        <v>10</v>
      </c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5">
        <f t="shared" si="2"/>
        <v>60</v>
      </c>
    </row>
    <row r="128" spans="1:55" ht="25.5" customHeight="1" x14ac:dyDescent="0.4">
      <c r="A128" s="11">
        <v>656</v>
      </c>
      <c r="B128" s="1" t="s">
        <v>342</v>
      </c>
      <c r="C128" s="1" t="s">
        <v>162</v>
      </c>
      <c r="D128" s="1">
        <v>65</v>
      </c>
      <c r="E128" s="64">
        <v>1</v>
      </c>
      <c r="F128" s="64" t="s">
        <v>50</v>
      </c>
      <c r="G128" s="1">
        <v>9</v>
      </c>
      <c r="H128" s="1" t="s">
        <v>198</v>
      </c>
      <c r="I128" s="65">
        <v>1</v>
      </c>
      <c r="J128" s="1"/>
      <c r="K128" s="1"/>
      <c r="L128" s="1" t="s">
        <v>343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5">
        <f t="shared" si="2"/>
        <v>1</v>
      </c>
    </row>
    <row r="129" spans="1:49" ht="25.5" customHeight="1" x14ac:dyDescent="0.4">
      <c r="A129" s="11">
        <v>655</v>
      </c>
      <c r="B129" s="29" t="s">
        <v>344</v>
      </c>
      <c r="C129" s="29" t="s">
        <v>162</v>
      </c>
      <c r="D129" s="34">
        <f>M129+Q129+U129</f>
        <v>150</v>
      </c>
      <c r="E129" s="35">
        <v>1</v>
      </c>
      <c r="F129" s="35" t="s">
        <v>50</v>
      </c>
      <c r="G129" s="29">
        <v>11</v>
      </c>
      <c r="H129" s="7"/>
      <c r="I129" s="36"/>
      <c r="J129" s="29"/>
      <c r="L129" s="29" t="s">
        <v>222</v>
      </c>
      <c r="M129" s="29">
        <v>100</v>
      </c>
      <c r="N129" s="34" t="s">
        <v>345</v>
      </c>
      <c r="O129" s="29">
        <v>10</v>
      </c>
      <c r="P129" s="29" t="s">
        <v>128</v>
      </c>
      <c r="Q129" s="34">
        <v>10</v>
      </c>
      <c r="R129" s="34" t="s">
        <v>306</v>
      </c>
      <c r="S129" s="34"/>
      <c r="T129" s="34" t="s">
        <v>219</v>
      </c>
      <c r="U129" s="34">
        <v>40</v>
      </c>
      <c r="V129" s="34"/>
      <c r="W129" s="34"/>
      <c r="X129" s="34"/>
      <c r="Y129" s="34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5">
        <f t="shared" si="2"/>
        <v>160</v>
      </c>
    </row>
    <row r="130" spans="1:49" ht="25.5" customHeight="1" x14ac:dyDescent="0.4">
      <c r="A130" s="6">
        <v>654</v>
      </c>
      <c r="B130" s="66" t="s">
        <v>346</v>
      </c>
      <c r="C130" s="23" t="s">
        <v>347</v>
      </c>
      <c r="D130" s="6">
        <f>M130+O130</f>
        <v>80</v>
      </c>
      <c r="E130" s="24">
        <v>1</v>
      </c>
      <c r="F130" s="24" t="s">
        <v>50</v>
      </c>
      <c r="G130" s="6">
        <v>11</v>
      </c>
      <c r="H130" s="15"/>
      <c r="I130" s="25"/>
      <c r="J130" s="23"/>
      <c r="K130" s="6"/>
      <c r="L130" s="23" t="s">
        <v>348</v>
      </c>
      <c r="M130" s="6">
        <v>40</v>
      </c>
      <c r="N130" s="23" t="s">
        <v>112</v>
      </c>
      <c r="O130" s="6">
        <v>40</v>
      </c>
      <c r="P130" s="6" t="s">
        <v>249</v>
      </c>
      <c r="Q130" s="6">
        <v>5</v>
      </c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>
        <f t="shared" si="2"/>
        <v>85</v>
      </c>
    </row>
    <row r="131" spans="1:49" ht="12.75" customHeight="1" x14ac:dyDescent="0.4">
      <c r="A131" s="14">
        <v>653</v>
      </c>
      <c r="B131" s="19" t="s">
        <v>349</v>
      </c>
      <c r="C131" s="19" t="s">
        <v>118</v>
      </c>
      <c r="D131" s="20">
        <f>M131+O131</f>
        <v>90</v>
      </c>
      <c r="E131" s="21">
        <v>1</v>
      </c>
      <c r="F131" s="21" t="s">
        <v>50</v>
      </c>
      <c r="G131" s="20">
        <v>11</v>
      </c>
      <c r="H131" s="19"/>
      <c r="I131" s="22"/>
      <c r="J131" s="19"/>
      <c r="K131" s="20"/>
      <c r="L131" s="19" t="s">
        <v>348</v>
      </c>
      <c r="M131" s="20">
        <v>45</v>
      </c>
      <c r="N131" s="19" t="s">
        <v>112</v>
      </c>
      <c r="O131" s="20">
        <v>45</v>
      </c>
      <c r="P131" s="20" t="s">
        <v>249</v>
      </c>
      <c r="Q131" s="20">
        <v>5</v>
      </c>
      <c r="R131" s="20"/>
      <c r="S131" s="20"/>
      <c r="T131" s="20"/>
      <c r="U131" s="20"/>
      <c r="V131" s="20"/>
      <c r="W131" s="20"/>
      <c r="X131" s="20"/>
      <c r="Y131" s="20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>
        <f t="shared" si="2"/>
        <v>95</v>
      </c>
    </row>
    <row r="132" spans="1:49" ht="12.75" customHeight="1" x14ac:dyDescent="0.4">
      <c r="A132" s="14">
        <v>652</v>
      </c>
      <c r="B132" s="15" t="s">
        <v>350</v>
      </c>
      <c r="C132" s="15" t="s">
        <v>68</v>
      </c>
      <c r="D132" s="67">
        <f>110/4+K132+M132+O132</f>
        <v>74.5</v>
      </c>
      <c r="E132" s="16">
        <v>1</v>
      </c>
      <c r="F132" s="16" t="s">
        <v>50</v>
      </c>
      <c r="G132" s="14">
        <v>16</v>
      </c>
      <c r="H132" s="19" t="s">
        <v>126</v>
      </c>
      <c r="I132" s="17">
        <v>0.25</v>
      </c>
      <c r="J132" s="15" t="s">
        <v>74</v>
      </c>
      <c r="K132" s="14">
        <v>12</v>
      </c>
      <c r="L132" s="15" t="s">
        <v>75</v>
      </c>
      <c r="M132" s="14">
        <v>25</v>
      </c>
      <c r="N132" s="15" t="s">
        <v>64</v>
      </c>
      <c r="O132" s="14">
        <v>10</v>
      </c>
      <c r="P132" s="15" t="s">
        <v>76</v>
      </c>
      <c r="Q132" s="14">
        <v>10</v>
      </c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>
        <f t="shared" si="2"/>
        <v>57.25</v>
      </c>
    </row>
    <row r="133" spans="1:49" ht="25.5" customHeight="1" x14ac:dyDescent="0.4">
      <c r="A133" s="14">
        <v>651</v>
      </c>
      <c r="B133" s="15" t="s">
        <v>351</v>
      </c>
      <c r="C133" s="15" t="s">
        <v>68</v>
      </c>
      <c r="D133" s="67">
        <f t="shared" ref="D133:D139" si="4">110/4+K133+M133+O133+Q133+S133</f>
        <v>80.5</v>
      </c>
      <c r="E133" s="16">
        <v>1</v>
      </c>
      <c r="F133" s="16" t="s">
        <v>50</v>
      </c>
      <c r="G133" s="14">
        <v>16</v>
      </c>
      <c r="H133" s="19" t="s">
        <v>126</v>
      </c>
      <c r="I133" s="17">
        <v>0.25</v>
      </c>
      <c r="J133" s="15" t="s">
        <v>78</v>
      </c>
      <c r="K133" s="14">
        <v>20</v>
      </c>
      <c r="L133" s="15" t="s">
        <v>79</v>
      </c>
      <c r="M133" s="14">
        <v>20</v>
      </c>
      <c r="N133" s="15" t="s">
        <v>80</v>
      </c>
      <c r="O133" s="14">
        <v>10</v>
      </c>
      <c r="P133" s="15" t="s">
        <v>72</v>
      </c>
      <c r="Q133" s="14">
        <v>3</v>
      </c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>
        <f t="shared" si="2"/>
        <v>53.25</v>
      </c>
    </row>
    <row r="134" spans="1:49" ht="25.5" customHeight="1" x14ac:dyDescent="0.4">
      <c r="A134" s="14">
        <v>650</v>
      </c>
      <c r="B134" s="15" t="s">
        <v>352</v>
      </c>
      <c r="C134" s="15" t="s">
        <v>68</v>
      </c>
      <c r="D134" s="67">
        <f t="shared" si="4"/>
        <v>80.5</v>
      </c>
      <c r="E134" s="16">
        <v>1</v>
      </c>
      <c r="F134" s="16" t="s">
        <v>50</v>
      </c>
      <c r="G134" s="14">
        <v>16</v>
      </c>
      <c r="H134" s="19" t="s">
        <v>126</v>
      </c>
      <c r="I134" s="17">
        <v>0.25</v>
      </c>
      <c r="J134" s="15" t="s">
        <v>86</v>
      </c>
      <c r="K134" s="14">
        <v>10</v>
      </c>
      <c r="L134" s="15" t="s">
        <v>53</v>
      </c>
      <c r="M134" s="14">
        <v>20</v>
      </c>
      <c r="N134" s="15" t="s">
        <v>55</v>
      </c>
      <c r="O134" s="14">
        <v>15</v>
      </c>
      <c r="P134" s="15" t="s">
        <v>87</v>
      </c>
      <c r="Q134" s="14">
        <v>5</v>
      </c>
      <c r="R134" s="14" t="s">
        <v>72</v>
      </c>
      <c r="S134" s="14">
        <v>3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>
        <f t="shared" si="2"/>
        <v>53.25</v>
      </c>
    </row>
    <row r="135" spans="1:49" ht="25.5" customHeight="1" x14ac:dyDescent="0.4">
      <c r="A135" s="14">
        <v>649</v>
      </c>
      <c r="B135" s="15" t="s">
        <v>353</v>
      </c>
      <c r="C135" s="15" t="s">
        <v>68</v>
      </c>
      <c r="D135" s="67">
        <f t="shared" si="4"/>
        <v>80.5</v>
      </c>
      <c r="E135" s="16">
        <v>1</v>
      </c>
      <c r="F135" s="16" t="s">
        <v>50</v>
      </c>
      <c r="G135" s="14">
        <v>16</v>
      </c>
      <c r="H135" s="19" t="s">
        <v>126</v>
      </c>
      <c r="I135" s="17">
        <v>0.25</v>
      </c>
      <c r="J135" s="15" t="s">
        <v>52</v>
      </c>
      <c r="K135" s="14">
        <v>25</v>
      </c>
      <c r="L135" s="15" t="s">
        <v>266</v>
      </c>
      <c r="M135" s="14">
        <v>20</v>
      </c>
      <c r="N135" s="15" t="s">
        <v>264</v>
      </c>
      <c r="O135" s="14">
        <v>5</v>
      </c>
      <c r="P135" s="15" t="s">
        <v>72</v>
      </c>
      <c r="Q135" s="14">
        <v>3</v>
      </c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>
        <f t="shared" si="2"/>
        <v>53.25</v>
      </c>
    </row>
    <row r="136" spans="1:49" ht="25.5" customHeight="1" x14ac:dyDescent="0.4">
      <c r="A136" s="14">
        <v>648</v>
      </c>
      <c r="B136" s="15" t="s">
        <v>354</v>
      </c>
      <c r="C136" s="15" t="s">
        <v>68</v>
      </c>
      <c r="D136" s="67">
        <f t="shared" si="4"/>
        <v>95.5</v>
      </c>
      <c r="E136" s="16">
        <v>1</v>
      </c>
      <c r="F136" s="16" t="s">
        <v>50</v>
      </c>
      <c r="G136" s="14">
        <v>16</v>
      </c>
      <c r="H136" s="19" t="s">
        <v>126</v>
      </c>
      <c r="I136" s="17">
        <v>0.25</v>
      </c>
      <c r="J136" s="15"/>
      <c r="K136" s="14"/>
      <c r="L136" s="15" t="s">
        <v>272</v>
      </c>
      <c r="M136" s="14">
        <v>40</v>
      </c>
      <c r="N136" s="15" t="s">
        <v>71</v>
      </c>
      <c r="O136" s="14">
        <v>25</v>
      </c>
      <c r="P136" s="15" t="s">
        <v>72</v>
      </c>
      <c r="Q136" s="14">
        <v>3</v>
      </c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>
        <f t="shared" si="2"/>
        <v>68.25</v>
      </c>
      <c r="AW136" s="11"/>
    </row>
    <row r="137" spans="1:49" ht="25.5" customHeight="1" x14ac:dyDescent="0.4">
      <c r="A137" s="14">
        <v>647</v>
      </c>
      <c r="B137" s="15" t="s">
        <v>355</v>
      </c>
      <c r="C137" s="15" t="s">
        <v>68</v>
      </c>
      <c r="D137" s="67">
        <f t="shared" si="4"/>
        <v>80.5</v>
      </c>
      <c r="E137" s="16">
        <v>1</v>
      </c>
      <c r="F137" s="16" t="s">
        <v>50</v>
      </c>
      <c r="G137" s="14">
        <v>16</v>
      </c>
      <c r="H137" s="19" t="s">
        <v>126</v>
      </c>
      <c r="I137" s="17">
        <v>0.25</v>
      </c>
      <c r="J137" s="15" t="s">
        <v>52</v>
      </c>
      <c r="K137" s="14">
        <v>15</v>
      </c>
      <c r="L137" s="15" t="s">
        <v>82</v>
      </c>
      <c r="M137" s="14">
        <v>10</v>
      </c>
      <c r="N137" s="15" t="s">
        <v>207</v>
      </c>
      <c r="O137" s="14"/>
      <c r="P137" s="15" t="s">
        <v>72</v>
      </c>
      <c r="Q137" s="14">
        <v>3</v>
      </c>
      <c r="R137" s="14" t="s">
        <v>127</v>
      </c>
      <c r="S137" s="14">
        <v>25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>
        <f t="shared" si="2"/>
        <v>53.25</v>
      </c>
      <c r="AW137" s="26"/>
    </row>
    <row r="138" spans="1:49" ht="25.5" customHeight="1" x14ac:dyDescent="0.4">
      <c r="A138" s="14">
        <v>646</v>
      </c>
      <c r="B138" s="15" t="s">
        <v>356</v>
      </c>
      <c r="C138" s="15" t="s">
        <v>68</v>
      </c>
      <c r="D138" s="67">
        <f t="shared" si="4"/>
        <v>95.5</v>
      </c>
      <c r="E138" s="16">
        <v>1</v>
      </c>
      <c r="F138" s="16" t="s">
        <v>50</v>
      </c>
      <c r="G138" s="14">
        <v>16</v>
      </c>
      <c r="H138" s="19" t="s">
        <v>126</v>
      </c>
      <c r="I138" s="17">
        <v>0.25</v>
      </c>
      <c r="J138" s="15" t="s">
        <v>52</v>
      </c>
      <c r="K138" s="14">
        <v>20</v>
      </c>
      <c r="L138" s="15" t="s">
        <v>83</v>
      </c>
      <c r="M138" s="14">
        <v>25</v>
      </c>
      <c r="N138" s="15" t="s">
        <v>84</v>
      </c>
      <c r="O138" s="14">
        <v>10</v>
      </c>
      <c r="P138" s="15" t="s">
        <v>128</v>
      </c>
      <c r="Q138" s="14">
        <v>10</v>
      </c>
      <c r="R138" s="14" t="s">
        <v>72</v>
      </c>
      <c r="S138" s="14">
        <v>3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>
        <f t="shared" si="2"/>
        <v>68.25</v>
      </c>
    </row>
    <row r="139" spans="1:49" ht="25.5" customHeight="1" x14ac:dyDescent="0.4">
      <c r="A139" s="14">
        <v>645</v>
      </c>
      <c r="B139" s="15" t="s">
        <v>357</v>
      </c>
      <c r="C139" s="15" t="s">
        <v>68</v>
      </c>
      <c r="D139" s="67">
        <f t="shared" si="4"/>
        <v>87.5</v>
      </c>
      <c r="E139" s="16">
        <v>1</v>
      </c>
      <c r="F139" s="16" t="s">
        <v>50</v>
      </c>
      <c r="G139" s="14">
        <v>16</v>
      </c>
      <c r="H139" s="19" t="s">
        <v>126</v>
      </c>
      <c r="I139" s="17">
        <v>0.25</v>
      </c>
      <c r="J139" s="15" t="s">
        <v>52</v>
      </c>
      <c r="K139" s="14">
        <v>20</v>
      </c>
      <c r="L139" s="15" t="s">
        <v>89</v>
      </c>
      <c r="M139" s="14">
        <v>20</v>
      </c>
      <c r="N139" s="15" t="s">
        <v>90</v>
      </c>
      <c r="O139" s="14">
        <v>10</v>
      </c>
      <c r="P139" s="15" t="s">
        <v>87</v>
      </c>
      <c r="Q139" s="14">
        <v>5</v>
      </c>
      <c r="R139" s="14" t="s">
        <v>91</v>
      </c>
      <c r="S139" s="14">
        <v>5</v>
      </c>
      <c r="T139" s="14" t="s">
        <v>72</v>
      </c>
      <c r="U139" s="14">
        <v>5</v>
      </c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>
        <f t="shared" si="2"/>
        <v>65.25</v>
      </c>
    </row>
    <row r="140" spans="1:49" ht="25.5" customHeight="1" x14ac:dyDescent="0.4">
      <c r="A140" s="14">
        <v>644</v>
      </c>
      <c r="B140" s="15" t="s">
        <v>358</v>
      </c>
      <c r="C140" s="15" t="s">
        <v>68</v>
      </c>
      <c r="D140" s="14"/>
      <c r="E140" s="16">
        <v>1</v>
      </c>
      <c r="F140" s="16" t="s">
        <v>50</v>
      </c>
      <c r="G140" s="14">
        <v>16</v>
      </c>
      <c r="H140" s="29" t="s">
        <v>126</v>
      </c>
      <c r="I140" s="17">
        <v>0.25</v>
      </c>
      <c r="J140" s="15" t="s">
        <v>137</v>
      </c>
      <c r="K140" s="14">
        <v>15</v>
      </c>
      <c r="L140" s="15" t="s">
        <v>138</v>
      </c>
      <c r="M140" s="14">
        <v>30</v>
      </c>
      <c r="N140" s="15" t="s">
        <v>139</v>
      </c>
      <c r="O140" s="14">
        <v>5</v>
      </c>
      <c r="P140" s="15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>
        <f t="shared" si="2"/>
        <v>50.25</v>
      </c>
    </row>
    <row r="141" spans="1:49" ht="25.5" customHeight="1" x14ac:dyDescent="0.4">
      <c r="A141" s="11">
        <v>643</v>
      </c>
      <c r="B141" s="1" t="s">
        <v>359</v>
      </c>
      <c r="C141" s="1" t="s">
        <v>68</v>
      </c>
      <c r="D141" s="68">
        <f>110/4+K141+M141+O141</f>
        <v>92.5</v>
      </c>
      <c r="E141" s="12">
        <v>1</v>
      </c>
      <c r="F141" s="12" t="s">
        <v>50</v>
      </c>
      <c r="G141" s="11">
        <v>16</v>
      </c>
      <c r="H141" s="7" t="s">
        <v>126</v>
      </c>
      <c r="I141" s="13">
        <v>0.25</v>
      </c>
      <c r="J141" s="1" t="s">
        <v>70</v>
      </c>
      <c r="K141" s="11">
        <v>15</v>
      </c>
      <c r="L141" s="1" t="s">
        <v>143</v>
      </c>
      <c r="M141" s="11">
        <v>30</v>
      </c>
      <c r="N141" s="1" t="s">
        <v>144</v>
      </c>
      <c r="O141" s="11">
        <v>20</v>
      </c>
      <c r="P141" s="1" t="s">
        <v>87</v>
      </c>
      <c r="Q141" s="11">
        <v>5</v>
      </c>
      <c r="R141" s="11" t="s">
        <v>72</v>
      </c>
      <c r="S141" s="11">
        <v>3</v>
      </c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5">
        <f t="shared" ref="AV141:AV204" si="5">SUM(I141,K141,M141,O141,Q141,S141,U141,W141,Y141,AA141,AC141,AE141,AG141,AI141,AK141,AM141,AO141,AQ141,AS141,AU141)</f>
        <v>73.25</v>
      </c>
    </row>
    <row r="142" spans="1:49" ht="25.5" customHeight="1" x14ac:dyDescent="0.4">
      <c r="A142" s="6">
        <v>642</v>
      </c>
      <c r="B142" s="6" t="s">
        <v>360</v>
      </c>
      <c r="C142" s="23" t="s">
        <v>68</v>
      </c>
      <c r="D142" s="69">
        <f>110/4+K142+M142+O142</f>
        <v>107.5</v>
      </c>
      <c r="E142" s="24">
        <v>1</v>
      </c>
      <c r="F142" s="24" t="s">
        <v>50</v>
      </c>
      <c r="G142" s="6">
        <v>16</v>
      </c>
      <c r="H142" s="19" t="s">
        <v>126</v>
      </c>
      <c r="I142" s="25">
        <v>0.25</v>
      </c>
      <c r="J142" s="23" t="s">
        <v>276</v>
      </c>
      <c r="K142" s="6">
        <v>20</v>
      </c>
      <c r="L142" s="23" t="s">
        <v>261</v>
      </c>
      <c r="M142" s="6">
        <v>50</v>
      </c>
      <c r="N142" s="23" t="s">
        <v>64</v>
      </c>
      <c r="O142" s="6">
        <v>10</v>
      </c>
      <c r="P142" s="23" t="s">
        <v>294</v>
      </c>
      <c r="Q142" s="6">
        <v>10</v>
      </c>
      <c r="R142" s="6" t="s">
        <v>72</v>
      </c>
      <c r="S142" s="6">
        <v>3</v>
      </c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>
        <f t="shared" si="5"/>
        <v>93.25</v>
      </c>
    </row>
    <row r="143" spans="1:49" ht="25.5" customHeight="1" x14ac:dyDescent="0.4">
      <c r="A143" s="14">
        <v>641</v>
      </c>
      <c r="B143" s="15" t="s">
        <v>361</v>
      </c>
      <c r="C143" s="15" t="s">
        <v>68</v>
      </c>
      <c r="D143" s="67">
        <f>110/4+K143+M143+O143</f>
        <v>77.5</v>
      </c>
      <c r="E143" s="16">
        <v>1</v>
      </c>
      <c r="F143" s="16" t="s">
        <v>50</v>
      </c>
      <c r="G143" s="14">
        <v>16</v>
      </c>
      <c r="H143" s="19" t="s">
        <v>126</v>
      </c>
      <c r="I143" s="17">
        <v>0.25</v>
      </c>
      <c r="J143" s="15" t="s">
        <v>86</v>
      </c>
      <c r="K143" s="14">
        <v>15</v>
      </c>
      <c r="L143" s="15" t="s">
        <v>93</v>
      </c>
      <c r="M143" s="14">
        <v>25</v>
      </c>
      <c r="N143" s="15" t="s">
        <v>147</v>
      </c>
      <c r="O143" s="14">
        <v>10</v>
      </c>
      <c r="P143" s="15" t="s">
        <v>87</v>
      </c>
      <c r="Q143" s="14">
        <v>5</v>
      </c>
      <c r="R143" s="14" t="s">
        <v>72</v>
      </c>
      <c r="S143" s="14">
        <v>3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>
        <f t="shared" si="5"/>
        <v>58.25</v>
      </c>
    </row>
    <row r="144" spans="1:49" ht="25.5" customHeight="1" x14ac:dyDescent="0.4">
      <c r="A144" s="14">
        <v>640</v>
      </c>
      <c r="B144" s="56" t="s">
        <v>362</v>
      </c>
      <c r="C144" s="15" t="s">
        <v>68</v>
      </c>
      <c r="D144" s="26"/>
      <c r="E144" s="16">
        <v>1</v>
      </c>
      <c r="F144" s="16" t="s">
        <v>50</v>
      </c>
      <c r="G144" s="14">
        <v>16</v>
      </c>
      <c r="H144" s="29" t="s">
        <v>126</v>
      </c>
      <c r="I144" s="17">
        <v>0.25</v>
      </c>
      <c r="J144" s="15" t="s">
        <v>86</v>
      </c>
      <c r="K144" s="26">
        <v>15</v>
      </c>
      <c r="L144" s="15" t="s">
        <v>236</v>
      </c>
      <c r="M144" s="26">
        <v>20</v>
      </c>
      <c r="N144" s="15"/>
      <c r="O144" s="26"/>
      <c r="P144" s="15"/>
      <c r="Q144" s="26"/>
      <c r="R144" s="26"/>
      <c r="S144" s="26"/>
      <c r="T144" s="26"/>
      <c r="U144" s="26"/>
      <c r="V144" s="26"/>
      <c r="W144" s="26"/>
      <c r="X144" s="26"/>
      <c r="Y144" s="26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>
        <f t="shared" si="5"/>
        <v>35.25</v>
      </c>
    </row>
    <row r="145" spans="1:55" ht="25.5" customHeight="1" x14ac:dyDescent="0.4">
      <c r="A145" s="11">
        <v>639</v>
      </c>
      <c r="B145" s="1" t="s">
        <v>363</v>
      </c>
      <c r="C145" s="1" t="s">
        <v>68</v>
      </c>
      <c r="D145" s="68">
        <f>110/4+K145+M145+O145+Q145+S145</f>
        <v>85.5</v>
      </c>
      <c r="E145" s="12">
        <v>1</v>
      </c>
      <c r="F145" s="12" t="s">
        <v>50</v>
      </c>
      <c r="G145" s="11">
        <v>16</v>
      </c>
      <c r="H145" s="7" t="s">
        <v>126</v>
      </c>
      <c r="I145" s="13">
        <v>0.25</v>
      </c>
      <c r="J145" s="1" t="s">
        <v>52</v>
      </c>
      <c r="K145" s="11">
        <v>20</v>
      </c>
      <c r="L145" s="1" t="s">
        <v>98</v>
      </c>
      <c r="M145" s="11">
        <v>25</v>
      </c>
      <c r="N145" s="1" t="s">
        <v>90</v>
      </c>
      <c r="O145" s="11">
        <v>10</v>
      </c>
      <c r="P145" s="1" t="s">
        <v>72</v>
      </c>
      <c r="Q145" s="11">
        <v>3</v>
      </c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5">
        <f t="shared" si="5"/>
        <v>58.25</v>
      </c>
    </row>
    <row r="146" spans="1:55" ht="25.5" customHeight="1" x14ac:dyDescent="0.4">
      <c r="A146" s="6">
        <v>638</v>
      </c>
      <c r="B146" s="23" t="s">
        <v>364</v>
      </c>
      <c r="C146" s="23" t="s">
        <v>68</v>
      </c>
      <c r="D146" s="69">
        <f>110/4+K146+M146+O146+Q146+S146</f>
        <v>90.5</v>
      </c>
      <c r="E146" s="24">
        <v>1</v>
      </c>
      <c r="F146" s="24" t="s">
        <v>50</v>
      </c>
      <c r="G146" s="70">
        <v>16</v>
      </c>
      <c r="H146" s="19" t="s">
        <v>126</v>
      </c>
      <c r="I146" s="25">
        <v>0.25</v>
      </c>
      <c r="J146" s="23" t="s">
        <v>52</v>
      </c>
      <c r="K146" s="6">
        <v>25</v>
      </c>
      <c r="L146" s="23" t="s">
        <v>96</v>
      </c>
      <c r="M146" s="6">
        <v>15</v>
      </c>
      <c r="N146" s="23" t="s">
        <v>79</v>
      </c>
      <c r="O146" s="6">
        <v>15</v>
      </c>
      <c r="P146" s="23" t="s">
        <v>128</v>
      </c>
      <c r="Q146" s="6">
        <v>5</v>
      </c>
      <c r="R146" s="6" t="s">
        <v>72</v>
      </c>
      <c r="S146" s="6">
        <v>3</v>
      </c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>
        <f t="shared" si="5"/>
        <v>63.25</v>
      </c>
    </row>
    <row r="147" spans="1:55" ht="25.5" customHeight="1" x14ac:dyDescent="0.4">
      <c r="A147" s="14">
        <v>637</v>
      </c>
      <c r="B147" s="15" t="s">
        <v>365</v>
      </c>
      <c r="C147" s="15" t="s">
        <v>68</v>
      </c>
      <c r="D147" s="67">
        <f>110/4+K147+M147+O147+Q147</f>
        <v>87.5</v>
      </c>
      <c r="E147" s="16">
        <v>1</v>
      </c>
      <c r="F147" s="16" t="s">
        <v>50</v>
      </c>
      <c r="G147" s="14">
        <v>16</v>
      </c>
      <c r="H147" s="19" t="s">
        <v>126</v>
      </c>
      <c r="I147" s="17">
        <v>0.25</v>
      </c>
      <c r="J147" s="15" t="s">
        <v>52</v>
      </c>
      <c r="K147" s="14">
        <v>20</v>
      </c>
      <c r="L147" s="15" t="s">
        <v>98</v>
      </c>
      <c r="M147" s="14">
        <v>15</v>
      </c>
      <c r="N147" s="15" t="s">
        <v>96</v>
      </c>
      <c r="O147" s="14">
        <v>15</v>
      </c>
      <c r="P147" s="15" t="s">
        <v>90</v>
      </c>
      <c r="Q147" s="14">
        <v>10</v>
      </c>
      <c r="R147" s="14" t="s">
        <v>72</v>
      </c>
      <c r="S147" s="14">
        <v>3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>
        <f t="shared" si="5"/>
        <v>63.25</v>
      </c>
    </row>
    <row r="148" spans="1:55" ht="25.5" customHeight="1" x14ac:dyDescent="0.4">
      <c r="A148" s="20">
        <v>636</v>
      </c>
      <c r="B148" s="15" t="s">
        <v>366</v>
      </c>
      <c r="C148" s="15" t="s">
        <v>68</v>
      </c>
      <c r="D148" s="67">
        <f>110/4+K148+M148+O148+Q148+S148</f>
        <v>93.5</v>
      </c>
      <c r="E148" s="16">
        <v>1</v>
      </c>
      <c r="F148" s="16" t="s">
        <v>50</v>
      </c>
      <c r="G148" s="14">
        <v>16</v>
      </c>
      <c r="H148" s="19" t="s">
        <v>126</v>
      </c>
      <c r="I148" s="17">
        <v>0.25</v>
      </c>
      <c r="J148" s="15" t="s">
        <v>52</v>
      </c>
      <c r="K148" s="14">
        <v>25</v>
      </c>
      <c r="L148" s="15" t="s">
        <v>261</v>
      </c>
      <c r="M148" s="14">
        <v>30</v>
      </c>
      <c r="N148" s="15" t="s">
        <v>123</v>
      </c>
      <c r="O148" s="14">
        <v>5</v>
      </c>
      <c r="P148" s="15" t="s">
        <v>148</v>
      </c>
      <c r="Q148" s="14">
        <v>3</v>
      </c>
      <c r="R148" s="14" t="s">
        <v>72</v>
      </c>
      <c r="S148" s="14">
        <v>3</v>
      </c>
      <c r="T148" s="14"/>
      <c r="U148" s="14"/>
      <c r="V148" s="14"/>
      <c r="W148" s="14"/>
      <c r="X148" s="14"/>
      <c r="Y148" s="14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>
        <f t="shared" si="5"/>
        <v>66.25</v>
      </c>
      <c r="AW148" s="34"/>
      <c r="AX148" s="34"/>
      <c r="AY148" s="34"/>
      <c r="AZ148" s="34"/>
      <c r="BA148" s="34"/>
      <c r="BB148" s="34"/>
      <c r="BC148" s="34"/>
    </row>
    <row r="149" spans="1:55" ht="25.5" customHeight="1" x14ac:dyDescent="0.4">
      <c r="A149" s="14">
        <v>635</v>
      </c>
      <c r="B149" s="56" t="s">
        <v>367</v>
      </c>
      <c r="C149" s="15" t="s">
        <v>130</v>
      </c>
      <c r="D149" s="26"/>
      <c r="E149" s="16">
        <v>1</v>
      </c>
      <c r="F149" s="16" t="s">
        <v>50</v>
      </c>
      <c r="G149" s="26"/>
      <c r="I149" s="27"/>
      <c r="J149" s="15"/>
      <c r="K149" s="26"/>
      <c r="L149" s="15"/>
      <c r="M149" s="26"/>
      <c r="N149" s="15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>
        <f t="shared" si="5"/>
        <v>0</v>
      </c>
      <c r="AW149"/>
      <c r="AX149"/>
      <c r="AY149"/>
      <c r="AZ149"/>
      <c r="BA149"/>
      <c r="BB149"/>
      <c r="BC149"/>
    </row>
    <row r="150" spans="1:55" ht="25.5" customHeight="1" x14ac:dyDescent="0.4">
      <c r="A150" s="1">
        <v>634</v>
      </c>
      <c r="B150" s="71" t="s">
        <v>368</v>
      </c>
      <c r="C150" s="1" t="s">
        <v>130</v>
      </c>
      <c r="E150" s="12">
        <v>1</v>
      </c>
      <c r="F150" s="12" t="s">
        <v>50</v>
      </c>
      <c r="J150" s="1"/>
      <c r="L150" s="1"/>
      <c r="N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5">
        <f t="shared" si="5"/>
        <v>0</v>
      </c>
      <c r="AW150" s="1"/>
      <c r="AX150" s="1"/>
      <c r="AY150" s="1"/>
      <c r="AZ150" s="1"/>
      <c r="BA150" s="1"/>
      <c r="BB150" s="1"/>
      <c r="BC150" s="1"/>
    </row>
    <row r="151" spans="1:55" ht="25.5" customHeight="1" x14ac:dyDescent="0.4">
      <c r="A151" s="11">
        <v>633</v>
      </c>
      <c r="B151" s="71" t="s">
        <v>369</v>
      </c>
      <c r="C151" s="1" t="s">
        <v>130</v>
      </c>
      <c r="E151" s="12">
        <v>1</v>
      </c>
      <c r="F151" s="12" t="s">
        <v>50</v>
      </c>
      <c r="J151" s="1"/>
      <c r="L151" s="1"/>
      <c r="N151" s="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5">
        <f t="shared" si="5"/>
        <v>0</v>
      </c>
    </row>
    <row r="152" spans="1:55" ht="25.5" customHeight="1" x14ac:dyDescent="0.4">
      <c r="A152" s="11">
        <v>632</v>
      </c>
      <c r="B152" s="71" t="s">
        <v>370</v>
      </c>
      <c r="C152" s="1" t="s">
        <v>130</v>
      </c>
      <c r="E152" s="12">
        <v>1</v>
      </c>
      <c r="F152" s="12" t="s">
        <v>50</v>
      </c>
      <c r="J152" s="1"/>
      <c r="L152" s="1"/>
      <c r="N152" s="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5">
        <f t="shared" si="5"/>
        <v>0</v>
      </c>
    </row>
    <row r="153" spans="1:55" ht="25.5" customHeight="1" x14ac:dyDescent="0.4">
      <c r="A153" s="11">
        <v>631</v>
      </c>
      <c r="B153" s="71" t="s">
        <v>371</v>
      </c>
      <c r="C153" s="1" t="s">
        <v>130</v>
      </c>
      <c r="E153" s="12">
        <v>1</v>
      </c>
      <c r="F153" s="12" t="s">
        <v>50</v>
      </c>
      <c r="J153" s="1"/>
      <c r="L153" s="1"/>
      <c r="N153" s="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5">
        <f t="shared" si="5"/>
        <v>0</v>
      </c>
    </row>
    <row r="154" spans="1:55" ht="25.5" customHeight="1" x14ac:dyDescent="0.4">
      <c r="A154" s="34">
        <v>630</v>
      </c>
      <c r="B154" s="71" t="s">
        <v>372</v>
      </c>
      <c r="C154" s="1" t="s">
        <v>130</v>
      </c>
      <c r="E154" s="12">
        <v>1</v>
      </c>
      <c r="F154" s="12" t="s">
        <v>50</v>
      </c>
      <c r="J154" s="1"/>
      <c r="L154" s="1"/>
      <c r="N154" s="1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5">
        <f t="shared" si="5"/>
        <v>0</v>
      </c>
      <c r="AW154" s="34"/>
      <c r="AX154" s="34"/>
      <c r="AY154" s="34"/>
      <c r="AZ154" s="34"/>
      <c r="BA154" s="34"/>
      <c r="BB154" s="34"/>
      <c r="BC154" s="34"/>
    </row>
    <row r="155" spans="1:55" ht="25.5" customHeight="1" x14ac:dyDescent="0.4">
      <c r="A155" s="11">
        <v>629</v>
      </c>
      <c r="B155" s="71" t="s">
        <v>373</v>
      </c>
      <c r="C155" s="1" t="s">
        <v>130</v>
      </c>
      <c r="E155" s="12">
        <v>1</v>
      </c>
      <c r="F155" s="12" t="s">
        <v>50</v>
      </c>
      <c r="J155" s="1"/>
      <c r="L155" s="1"/>
      <c r="N155" s="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5">
        <f t="shared" si="5"/>
        <v>0</v>
      </c>
    </row>
    <row r="156" spans="1:55" ht="25.5" customHeight="1" x14ac:dyDescent="0.4">
      <c r="A156" s="11">
        <v>628</v>
      </c>
      <c r="B156" s="71" t="s">
        <v>374</v>
      </c>
      <c r="C156" s="1" t="s">
        <v>68</v>
      </c>
      <c r="E156" s="12">
        <v>1</v>
      </c>
      <c r="F156" s="12" t="s">
        <v>50</v>
      </c>
      <c r="J156" s="1"/>
      <c r="L156" s="1"/>
      <c r="N156" s="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5">
        <f t="shared" si="5"/>
        <v>0</v>
      </c>
    </row>
    <row r="157" spans="1:55" ht="25.5" customHeight="1" x14ac:dyDescent="0.4">
      <c r="A157" s="11">
        <v>627</v>
      </c>
      <c r="B157" s="71" t="s">
        <v>375</v>
      </c>
      <c r="C157" s="1" t="s">
        <v>68</v>
      </c>
      <c r="E157" s="12">
        <v>1</v>
      </c>
      <c r="F157" s="12" t="s">
        <v>50</v>
      </c>
      <c r="J157" s="1"/>
      <c r="L157" s="1"/>
      <c r="N157" s="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5">
        <f t="shared" si="5"/>
        <v>0</v>
      </c>
    </row>
    <row r="158" spans="1:55" ht="25.5" customHeight="1" x14ac:dyDescent="0.4">
      <c r="A158" s="34">
        <v>626</v>
      </c>
      <c r="B158" s="71" t="s">
        <v>376</v>
      </c>
      <c r="C158" s="1" t="s">
        <v>68</v>
      </c>
      <c r="E158" s="12">
        <v>1</v>
      </c>
      <c r="F158" s="12" t="s">
        <v>50</v>
      </c>
      <c r="J158" s="1"/>
      <c r="L158" s="1"/>
      <c r="N158" s="1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5">
        <f t="shared" si="5"/>
        <v>0</v>
      </c>
      <c r="AW158" s="34"/>
      <c r="AX158" s="34"/>
      <c r="AY158" s="34"/>
      <c r="AZ158" s="34"/>
      <c r="BA158" s="34"/>
      <c r="BB158" s="34"/>
      <c r="BC158" s="34"/>
    </row>
    <row r="159" spans="1:55" ht="25.5" customHeight="1" x14ac:dyDescent="0.4">
      <c r="A159" s="34">
        <v>625</v>
      </c>
      <c r="B159" s="71" t="s">
        <v>377</v>
      </c>
      <c r="C159" s="1" t="s">
        <v>68</v>
      </c>
      <c r="E159" s="12">
        <v>1</v>
      </c>
      <c r="F159" s="12" t="s">
        <v>50</v>
      </c>
      <c r="J159" s="1"/>
      <c r="L159" s="1"/>
      <c r="N159" s="1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5">
        <f t="shared" si="5"/>
        <v>0</v>
      </c>
      <c r="AW159" s="34"/>
      <c r="AX159" s="34"/>
      <c r="AY159" s="34"/>
      <c r="AZ159" s="34"/>
      <c r="BA159" s="34"/>
      <c r="BB159" s="34"/>
      <c r="BC159" s="34"/>
    </row>
    <row r="160" spans="1:55" ht="25.5" customHeight="1" x14ac:dyDescent="0.4">
      <c r="A160" s="34">
        <v>624</v>
      </c>
      <c r="B160" s="71" t="s">
        <v>378</v>
      </c>
      <c r="C160" s="1" t="s">
        <v>68</v>
      </c>
      <c r="E160" s="12">
        <v>1</v>
      </c>
      <c r="F160" s="12" t="s">
        <v>50</v>
      </c>
      <c r="J160" s="1"/>
      <c r="L160" s="1"/>
      <c r="N160" s="1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5">
        <f t="shared" si="5"/>
        <v>0</v>
      </c>
      <c r="AW160" s="34"/>
      <c r="AX160" s="34"/>
      <c r="AY160" s="34"/>
      <c r="AZ160" s="34"/>
      <c r="BA160" s="34"/>
      <c r="BB160" s="34"/>
      <c r="BC160" s="34"/>
    </row>
    <row r="161" spans="1:55" ht="25.5" customHeight="1" x14ac:dyDescent="0.4">
      <c r="A161" s="34">
        <v>623</v>
      </c>
      <c r="B161" s="71" t="s">
        <v>379</v>
      </c>
      <c r="C161" s="1" t="s">
        <v>68</v>
      </c>
      <c r="E161" s="12">
        <v>1</v>
      </c>
      <c r="F161" s="12" t="s">
        <v>50</v>
      </c>
      <c r="J161" s="1"/>
      <c r="L161" s="1"/>
      <c r="N161" s="1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5">
        <f t="shared" si="5"/>
        <v>0</v>
      </c>
      <c r="AW161" s="34"/>
      <c r="AX161" s="34"/>
      <c r="AY161" s="34"/>
      <c r="AZ161" s="34"/>
      <c r="BA161" s="34"/>
      <c r="BB161" s="34"/>
      <c r="BC161" s="34"/>
    </row>
    <row r="162" spans="1:55" ht="25.5" customHeight="1" x14ac:dyDescent="0.4">
      <c r="A162" s="34">
        <v>622</v>
      </c>
      <c r="B162" s="71" t="s">
        <v>380</v>
      </c>
      <c r="C162" s="1" t="s">
        <v>68</v>
      </c>
      <c r="E162" s="12">
        <v>1</v>
      </c>
      <c r="F162" s="12" t="s">
        <v>50</v>
      </c>
      <c r="J162" s="1"/>
      <c r="L162" s="1"/>
      <c r="N162" s="1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5">
        <f t="shared" si="5"/>
        <v>0</v>
      </c>
      <c r="AW162" s="34"/>
      <c r="AX162" s="34"/>
      <c r="AY162" s="34"/>
      <c r="AZ162" s="34"/>
      <c r="BA162" s="34"/>
      <c r="BB162" s="34"/>
      <c r="BC162" s="34"/>
    </row>
    <row r="163" spans="1:55" ht="25.5" customHeight="1" x14ac:dyDescent="0.4">
      <c r="A163" s="34">
        <v>621</v>
      </c>
      <c r="B163" s="71" t="s">
        <v>381</v>
      </c>
      <c r="C163" s="1" t="s">
        <v>68</v>
      </c>
      <c r="E163" s="12">
        <v>1</v>
      </c>
      <c r="F163" s="12" t="s">
        <v>50</v>
      </c>
      <c r="J163" s="1"/>
      <c r="L163" s="1"/>
      <c r="N163" s="1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5">
        <f t="shared" si="5"/>
        <v>0</v>
      </c>
      <c r="AW163" s="34"/>
      <c r="AX163" s="34"/>
      <c r="AY163" s="34"/>
      <c r="AZ163" s="34"/>
      <c r="BA163" s="34"/>
      <c r="BB163" s="34"/>
      <c r="BC163" s="34"/>
    </row>
    <row r="164" spans="1:55" ht="25.5" customHeight="1" x14ac:dyDescent="0.4">
      <c r="A164" s="34">
        <v>620</v>
      </c>
      <c r="B164" s="71" t="s">
        <v>382</v>
      </c>
      <c r="C164" s="1" t="s">
        <v>68</v>
      </c>
      <c r="E164" s="12">
        <v>1</v>
      </c>
      <c r="F164" s="12" t="s">
        <v>50</v>
      </c>
      <c r="J164" s="1"/>
      <c r="L164" s="1"/>
      <c r="N164" s="1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5">
        <f t="shared" si="5"/>
        <v>0</v>
      </c>
      <c r="AW164" s="34"/>
      <c r="AX164" s="34"/>
      <c r="AY164" s="34"/>
      <c r="AZ164" s="34"/>
      <c r="BA164" s="34"/>
      <c r="BB164" s="34"/>
      <c r="BC164" s="34"/>
    </row>
    <row r="165" spans="1:55" ht="25.5" customHeight="1" x14ac:dyDescent="0.4">
      <c r="A165" s="34">
        <v>619</v>
      </c>
      <c r="B165" s="1" t="s">
        <v>674</v>
      </c>
      <c r="C165" s="1" t="s">
        <v>162</v>
      </c>
      <c r="D165" s="11">
        <f>K165+M165+25</f>
        <v>60</v>
      </c>
      <c r="E165" s="12">
        <v>1</v>
      </c>
      <c r="F165" s="12" t="s">
        <v>50</v>
      </c>
      <c r="G165" s="11">
        <v>18</v>
      </c>
      <c r="H165" s="1" t="s">
        <v>383</v>
      </c>
      <c r="I165" s="13">
        <v>1</v>
      </c>
      <c r="J165" s="1" t="s">
        <v>164</v>
      </c>
      <c r="K165" s="11">
        <v>25</v>
      </c>
      <c r="L165" s="1" t="s">
        <v>336</v>
      </c>
      <c r="M165" s="11">
        <v>10</v>
      </c>
      <c r="N165" s="1"/>
      <c r="O165" s="11"/>
      <c r="P165" s="1"/>
      <c r="Q165" s="11"/>
      <c r="R165" s="11"/>
      <c r="S165" s="11"/>
      <c r="T165" s="1"/>
      <c r="U165" s="11"/>
      <c r="V165" s="11"/>
      <c r="W165" s="11"/>
      <c r="X165" s="11"/>
      <c r="Y165" s="11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5">
        <f t="shared" si="5"/>
        <v>36</v>
      </c>
      <c r="AW165" s="34"/>
      <c r="AX165" s="34"/>
      <c r="AY165" s="34"/>
      <c r="AZ165" s="34"/>
      <c r="BA165" s="34"/>
      <c r="BB165" s="34"/>
      <c r="BC165" s="34"/>
    </row>
    <row r="166" spans="1:55" ht="25.5" customHeight="1" x14ac:dyDescent="0.4">
      <c r="A166" s="34">
        <v>618</v>
      </c>
      <c r="B166" s="1" t="s">
        <v>384</v>
      </c>
      <c r="C166" s="1" t="s">
        <v>68</v>
      </c>
      <c r="D166" s="11">
        <f>M166+O166+Q166+25</f>
        <v>53</v>
      </c>
      <c r="E166" s="12">
        <v>1</v>
      </c>
      <c r="F166" s="12" t="s">
        <v>50</v>
      </c>
      <c r="G166" s="11">
        <v>18</v>
      </c>
      <c r="H166" s="23" t="s">
        <v>383</v>
      </c>
      <c r="I166" s="13">
        <v>1</v>
      </c>
      <c r="J166" s="1"/>
      <c r="K166" s="1"/>
      <c r="L166" s="1" t="s">
        <v>82</v>
      </c>
      <c r="M166" s="11">
        <v>10</v>
      </c>
      <c r="N166" s="1" t="s">
        <v>127</v>
      </c>
      <c r="O166" s="11">
        <v>15</v>
      </c>
      <c r="P166" s="1" t="s">
        <v>72</v>
      </c>
      <c r="Q166" s="11">
        <v>3</v>
      </c>
      <c r="R166" s="11"/>
      <c r="S166" s="11"/>
      <c r="T166" s="11"/>
      <c r="U166" s="11"/>
      <c r="V166" s="11"/>
      <c r="W166" s="11"/>
      <c r="X166" s="11"/>
      <c r="Y166" s="11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5">
        <f t="shared" si="5"/>
        <v>29</v>
      </c>
      <c r="AW166" s="34"/>
      <c r="AX166" s="34"/>
      <c r="AY166" s="34"/>
      <c r="AZ166" s="34"/>
      <c r="BA166" s="34"/>
      <c r="BB166" s="34"/>
      <c r="BC166" s="34"/>
    </row>
    <row r="167" spans="1:55" ht="25.5" customHeight="1" x14ac:dyDescent="0.4">
      <c r="A167" s="8">
        <v>617</v>
      </c>
      <c r="B167" s="23" t="s">
        <v>385</v>
      </c>
      <c r="C167" s="23" t="s">
        <v>68</v>
      </c>
      <c r="D167" s="6">
        <f>K167+M167+O167+25</f>
        <v>40</v>
      </c>
      <c r="E167" s="24">
        <v>1</v>
      </c>
      <c r="F167" s="24" t="s">
        <v>50</v>
      </c>
      <c r="G167" s="6">
        <v>18</v>
      </c>
      <c r="H167" s="15" t="s">
        <v>383</v>
      </c>
      <c r="I167" s="25">
        <v>1</v>
      </c>
      <c r="J167" s="23"/>
      <c r="K167" s="6"/>
      <c r="L167" s="23" t="s">
        <v>74</v>
      </c>
      <c r="M167" s="6">
        <v>5</v>
      </c>
      <c r="N167" s="23" t="s">
        <v>386</v>
      </c>
      <c r="O167" s="6">
        <v>10</v>
      </c>
      <c r="P167" s="6" t="s">
        <v>157</v>
      </c>
      <c r="Q167" s="6">
        <v>10</v>
      </c>
      <c r="R167" s="6" t="s">
        <v>76</v>
      </c>
      <c r="S167" s="6">
        <v>5</v>
      </c>
      <c r="T167" s="6"/>
      <c r="U167" s="6"/>
      <c r="V167" s="6"/>
      <c r="W167" s="6"/>
      <c r="X167" s="6"/>
      <c r="Y167" s="6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>
        <f t="shared" si="5"/>
        <v>31</v>
      </c>
      <c r="AW167" s="30"/>
      <c r="AX167" s="30"/>
      <c r="AY167" s="30"/>
      <c r="AZ167" s="30"/>
      <c r="BA167" s="30"/>
      <c r="BB167" s="30"/>
      <c r="BC167" s="30"/>
    </row>
    <row r="168" spans="1:55" ht="25.5" customHeight="1" x14ac:dyDescent="0.4">
      <c r="A168" s="20">
        <v>616</v>
      </c>
      <c r="B168" s="15" t="s">
        <v>387</v>
      </c>
      <c r="C168" s="15" t="s">
        <v>162</v>
      </c>
      <c r="D168" s="14">
        <f>K168+25</f>
        <v>55</v>
      </c>
      <c r="E168" s="16">
        <v>1</v>
      </c>
      <c r="F168" s="16" t="s">
        <v>50</v>
      </c>
      <c r="G168" s="14">
        <v>18</v>
      </c>
      <c r="H168" s="1" t="s">
        <v>383</v>
      </c>
      <c r="I168" s="17">
        <v>1</v>
      </c>
      <c r="J168" s="15" t="s">
        <v>200</v>
      </c>
      <c r="K168" s="14">
        <v>30</v>
      </c>
      <c r="L168" s="15" t="s">
        <v>343</v>
      </c>
      <c r="M168" s="14"/>
      <c r="N168" s="15" t="s">
        <v>205</v>
      </c>
      <c r="O168" s="14">
        <v>5</v>
      </c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>
        <f t="shared" si="5"/>
        <v>36</v>
      </c>
      <c r="AW168" s="30"/>
      <c r="AX168" s="30"/>
      <c r="AY168" s="30"/>
      <c r="AZ168" s="30"/>
      <c r="BA168" s="30"/>
      <c r="BB168" s="30"/>
      <c r="BC168" s="30"/>
    </row>
    <row r="169" spans="1:55" ht="25.5" customHeight="1" x14ac:dyDescent="0.4">
      <c r="A169" s="34">
        <v>615</v>
      </c>
      <c r="B169" s="1" t="s">
        <v>388</v>
      </c>
      <c r="C169" s="1" t="s">
        <v>162</v>
      </c>
      <c r="D169" s="11">
        <f>K169+M169+25</f>
        <v>55</v>
      </c>
      <c r="E169" s="12">
        <v>1</v>
      </c>
      <c r="F169" s="12" t="s">
        <v>50</v>
      </c>
      <c r="G169" s="11">
        <v>18</v>
      </c>
      <c r="H169" s="1" t="s">
        <v>383</v>
      </c>
      <c r="I169" s="13">
        <v>1</v>
      </c>
      <c r="J169" s="1" t="s">
        <v>284</v>
      </c>
      <c r="K169" s="11">
        <v>25</v>
      </c>
      <c r="L169" s="1" t="s">
        <v>285</v>
      </c>
      <c r="M169" s="11">
        <v>5</v>
      </c>
      <c r="N169" s="1"/>
      <c r="O169" s="11"/>
      <c r="P169" s="1"/>
      <c r="Q169" s="11"/>
      <c r="R169" s="11"/>
      <c r="S169" s="11"/>
      <c r="T169" s="1"/>
      <c r="U169" s="11"/>
      <c r="V169" s="11"/>
      <c r="W169" s="11"/>
      <c r="X169" s="11"/>
      <c r="Y169" s="11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5">
        <f t="shared" si="5"/>
        <v>31</v>
      </c>
      <c r="AW169" s="34"/>
      <c r="AX169" s="34"/>
      <c r="AY169" s="34"/>
      <c r="AZ169" s="34"/>
      <c r="BA169" s="34"/>
      <c r="BB169" s="34"/>
      <c r="BC169" s="34"/>
    </row>
    <row r="170" spans="1:55" ht="25.5" customHeight="1" x14ac:dyDescent="0.4">
      <c r="A170" s="34">
        <v>614</v>
      </c>
      <c r="B170" s="1" t="s">
        <v>389</v>
      </c>
      <c r="C170" s="1" t="s">
        <v>162</v>
      </c>
      <c r="D170" s="11">
        <f>K170+25</f>
        <v>55</v>
      </c>
      <c r="E170" s="12">
        <v>1</v>
      </c>
      <c r="F170" s="12" t="s">
        <v>50</v>
      </c>
      <c r="G170" s="11">
        <v>18</v>
      </c>
      <c r="H170" s="1" t="s">
        <v>383</v>
      </c>
      <c r="I170" s="13">
        <v>1</v>
      </c>
      <c r="J170" s="1" t="s">
        <v>202</v>
      </c>
      <c r="K170" s="11">
        <v>30</v>
      </c>
      <c r="L170" s="1" t="s">
        <v>343</v>
      </c>
      <c r="M170" s="11"/>
      <c r="N170" s="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5">
        <f t="shared" si="5"/>
        <v>31</v>
      </c>
      <c r="AW170" s="34"/>
      <c r="AX170" s="34"/>
      <c r="AY170" s="34"/>
      <c r="AZ170" s="34"/>
      <c r="BA170" s="34"/>
      <c r="BB170" s="34"/>
      <c r="BC170" s="34"/>
    </row>
    <row r="171" spans="1:55" ht="25.5" customHeight="1" x14ac:dyDescent="0.4">
      <c r="A171" s="34">
        <v>613</v>
      </c>
      <c r="B171" s="1" t="s">
        <v>390</v>
      </c>
      <c r="C171" s="1" t="s">
        <v>68</v>
      </c>
      <c r="D171" s="11">
        <f>K171+M171+O171+25</f>
        <v>60</v>
      </c>
      <c r="E171" s="12">
        <v>1</v>
      </c>
      <c r="F171" s="12" t="s">
        <v>50</v>
      </c>
      <c r="G171" s="11">
        <v>18</v>
      </c>
      <c r="H171" s="23" t="s">
        <v>383</v>
      </c>
      <c r="I171" s="13">
        <v>1</v>
      </c>
      <c r="J171" s="1" t="s">
        <v>70</v>
      </c>
      <c r="K171" s="11">
        <v>14</v>
      </c>
      <c r="L171" s="1" t="s">
        <v>143</v>
      </c>
      <c r="M171" s="11">
        <v>15</v>
      </c>
      <c r="N171" s="1" t="s">
        <v>157</v>
      </c>
      <c r="O171" s="11">
        <v>6</v>
      </c>
      <c r="P171" s="11" t="s">
        <v>72</v>
      </c>
      <c r="Q171" s="11">
        <v>3</v>
      </c>
      <c r="R171" s="11" t="s">
        <v>179</v>
      </c>
      <c r="S171" s="11">
        <v>5</v>
      </c>
      <c r="T171" s="11"/>
      <c r="U171" s="11"/>
      <c r="V171" s="11"/>
      <c r="W171" s="11"/>
      <c r="X171" s="11"/>
      <c r="Y171" s="11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5">
        <f t="shared" si="5"/>
        <v>44</v>
      </c>
      <c r="AW171" s="34"/>
      <c r="AX171" s="34"/>
      <c r="AY171" s="34"/>
      <c r="AZ171" s="34"/>
      <c r="BA171" s="34"/>
      <c r="BB171" s="34"/>
      <c r="BC171" s="34"/>
    </row>
    <row r="172" spans="1:55" ht="25.5" customHeight="1" x14ac:dyDescent="0.4">
      <c r="A172" s="8">
        <v>612</v>
      </c>
      <c r="B172" s="23" t="s">
        <v>391</v>
      </c>
      <c r="C172" s="23" t="s">
        <v>68</v>
      </c>
      <c r="D172" s="6">
        <f>K172+M172+O172+25</f>
        <v>60</v>
      </c>
      <c r="E172" s="24">
        <v>1</v>
      </c>
      <c r="F172" s="24" t="s">
        <v>50</v>
      </c>
      <c r="G172" s="6">
        <v>18</v>
      </c>
      <c r="H172" s="15" t="s">
        <v>383</v>
      </c>
      <c r="I172" s="25">
        <v>1</v>
      </c>
      <c r="J172" s="23" t="s">
        <v>52</v>
      </c>
      <c r="K172" s="6">
        <v>15</v>
      </c>
      <c r="L172" s="23" t="s">
        <v>89</v>
      </c>
      <c r="M172" s="6">
        <v>15</v>
      </c>
      <c r="N172" s="23" t="s">
        <v>90</v>
      </c>
      <c r="O172" s="6">
        <v>5</v>
      </c>
      <c r="P172" s="6" t="s">
        <v>72</v>
      </c>
      <c r="Q172" s="6">
        <v>3</v>
      </c>
      <c r="R172" s="6" t="s">
        <v>87</v>
      </c>
      <c r="S172" s="6">
        <v>5</v>
      </c>
      <c r="T172" s="6" t="s">
        <v>91</v>
      </c>
      <c r="U172" s="6">
        <v>5</v>
      </c>
      <c r="V172" s="6"/>
      <c r="W172" s="6"/>
      <c r="X172" s="6"/>
      <c r="Y172" s="6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>
        <f t="shared" si="5"/>
        <v>49</v>
      </c>
      <c r="AW172" s="30"/>
      <c r="AX172" s="30"/>
      <c r="AY172" s="30"/>
      <c r="AZ172" s="30"/>
      <c r="BA172" s="30"/>
      <c r="BB172" s="30"/>
      <c r="BC172" s="30"/>
    </row>
    <row r="173" spans="1:55" ht="25.5" customHeight="1" x14ac:dyDescent="0.4">
      <c r="A173" s="14">
        <v>493</v>
      </c>
      <c r="B173" s="15" t="s">
        <v>392</v>
      </c>
      <c r="C173" s="15" t="s">
        <v>162</v>
      </c>
      <c r="D173" s="14">
        <f>K173+M173+25</f>
        <v>55</v>
      </c>
      <c r="E173" s="16">
        <v>1</v>
      </c>
      <c r="F173" s="16" t="s">
        <v>50</v>
      </c>
      <c r="G173" s="14">
        <v>18</v>
      </c>
      <c r="H173" s="1" t="s">
        <v>383</v>
      </c>
      <c r="I173" s="17">
        <v>1</v>
      </c>
      <c r="J173" s="15" t="s">
        <v>339</v>
      </c>
      <c r="K173" s="14">
        <v>25</v>
      </c>
      <c r="L173" s="15" t="s">
        <v>340</v>
      </c>
      <c r="M173" s="14">
        <v>5</v>
      </c>
      <c r="N173" s="15" t="s">
        <v>249</v>
      </c>
      <c r="O173" s="14"/>
      <c r="P173" s="15"/>
      <c r="Q173" s="14"/>
      <c r="R173" s="14"/>
      <c r="S173" s="14"/>
      <c r="T173" s="15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>
        <f t="shared" si="5"/>
        <v>31</v>
      </c>
      <c r="AW173"/>
      <c r="AX173"/>
      <c r="AY173"/>
      <c r="AZ173"/>
      <c r="BA173"/>
      <c r="BB173"/>
      <c r="BC173"/>
    </row>
    <row r="174" spans="1:55" ht="12.75" customHeight="1" x14ac:dyDescent="0.4">
      <c r="A174" s="34">
        <v>610</v>
      </c>
      <c r="B174" s="1" t="s">
        <v>393</v>
      </c>
      <c r="C174" s="1" t="s">
        <v>68</v>
      </c>
      <c r="D174" s="11">
        <f>K174+M174+O174+25</f>
        <v>60</v>
      </c>
      <c r="E174" s="12">
        <v>1</v>
      </c>
      <c r="F174" s="12" t="s">
        <v>50</v>
      </c>
      <c r="G174" s="11">
        <v>18</v>
      </c>
      <c r="H174" s="23" t="s">
        <v>383</v>
      </c>
      <c r="I174" s="13">
        <v>1</v>
      </c>
      <c r="J174" s="1"/>
      <c r="K174" s="11">
        <v>14</v>
      </c>
      <c r="L174" s="1"/>
      <c r="M174" s="11">
        <v>15</v>
      </c>
      <c r="N174" s="1"/>
      <c r="O174" s="11">
        <v>6</v>
      </c>
      <c r="P174" s="11" t="s">
        <v>72</v>
      </c>
      <c r="Q174" s="11">
        <v>3</v>
      </c>
      <c r="R174" s="11"/>
      <c r="S174" s="11"/>
      <c r="T174" s="11"/>
      <c r="U174" s="11"/>
      <c r="V174" s="11"/>
      <c r="W174" s="11"/>
      <c r="X174" s="11"/>
      <c r="Y174" s="11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5">
        <f t="shared" si="5"/>
        <v>39</v>
      </c>
      <c r="AW174" s="34"/>
      <c r="AX174" s="34"/>
      <c r="AY174" s="34"/>
      <c r="AZ174" s="34"/>
      <c r="BA174" s="34"/>
      <c r="BB174" s="34"/>
      <c r="BC174" s="34"/>
    </row>
    <row r="175" spans="1:55" ht="25.5" customHeight="1" x14ac:dyDescent="0.4">
      <c r="A175" s="6">
        <v>609</v>
      </c>
      <c r="B175" s="23" t="s">
        <v>394</v>
      </c>
      <c r="C175" s="23" t="s">
        <v>68</v>
      </c>
      <c r="D175" s="6">
        <f>M175+O175+Q175+25</f>
        <v>44</v>
      </c>
      <c r="E175" s="24">
        <v>1</v>
      </c>
      <c r="F175" s="24" t="s">
        <v>50</v>
      </c>
      <c r="G175" s="6">
        <v>18</v>
      </c>
      <c r="H175" s="15" t="s">
        <v>383</v>
      </c>
      <c r="I175" s="25">
        <v>1</v>
      </c>
      <c r="J175" s="23"/>
      <c r="K175" s="23"/>
      <c r="L175" s="23" t="s">
        <v>251</v>
      </c>
      <c r="M175" s="6">
        <v>10</v>
      </c>
      <c r="N175" s="23" t="s">
        <v>157</v>
      </c>
      <c r="O175" s="6">
        <v>8</v>
      </c>
      <c r="P175" s="23" t="s">
        <v>303</v>
      </c>
      <c r="Q175" s="6">
        <v>1</v>
      </c>
      <c r="R175" s="6" t="s">
        <v>72</v>
      </c>
      <c r="S175" s="6">
        <v>3</v>
      </c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>
        <f t="shared" si="5"/>
        <v>23</v>
      </c>
      <c r="AW175"/>
      <c r="AX175"/>
      <c r="AY175"/>
      <c r="AZ175"/>
      <c r="BA175"/>
      <c r="BB175"/>
      <c r="BC175"/>
    </row>
    <row r="176" spans="1:55" ht="25.5" customHeight="1" x14ac:dyDescent="0.4">
      <c r="A176" s="14">
        <v>608</v>
      </c>
      <c r="B176" s="15" t="s">
        <v>395</v>
      </c>
      <c r="C176" s="15" t="s">
        <v>68</v>
      </c>
      <c r="D176" s="14">
        <f>K176+M176+O176+25</f>
        <v>50</v>
      </c>
      <c r="E176" s="16">
        <v>1</v>
      </c>
      <c r="F176" s="16" t="s">
        <v>50</v>
      </c>
      <c r="G176" s="14">
        <v>18</v>
      </c>
      <c r="H176" s="1" t="s">
        <v>383</v>
      </c>
      <c r="I176" s="17">
        <v>1</v>
      </c>
      <c r="J176" s="15" t="s">
        <v>396</v>
      </c>
      <c r="K176" s="14">
        <v>15</v>
      </c>
      <c r="L176" s="15" t="s">
        <v>83</v>
      </c>
      <c r="M176" s="14">
        <v>10</v>
      </c>
      <c r="N176" s="15" t="s">
        <v>87</v>
      </c>
      <c r="O176" s="14"/>
      <c r="P176" s="14" t="s">
        <v>76</v>
      </c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>
        <f t="shared" si="5"/>
        <v>26</v>
      </c>
    </row>
    <row r="177" spans="1:48" ht="25.5" customHeight="1" x14ac:dyDescent="0.4">
      <c r="A177" s="11">
        <v>607</v>
      </c>
      <c r="B177" s="1" t="s">
        <v>397</v>
      </c>
      <c r="C177" s="1" t="s">
        <v>68</v>
      </c>
      <c r="D177" s="11">
        <f>K177+M177+O177+25</f>
        <v>60</v>
      </c>
      <c r="E177" s="12">
        <v>1</v>
      </c>
      <c r="F177" s="12" t="s">
        <v>50</v>
      </c>
      <c r="G177" s="11">
        <v>18</v>
      </c>
      <c r="H177" s="23" t="s">
        <v>383</v>
      </c>
      <c r="I177" s="13">
        <v>1</v>
      </c>
      <c r="J177" s="1" t="s">
        <v>52</v>
      </c>
      <c r="K177" s="11">
        <v>15</v>
      </c>
      <c r="L177" s="1" t="s">
        <v>96</v>
      </c>
      <c r="M177" s="11">
        <v>14</v>
      </c>
      <c r="N177" s="1" t="s">
        <v>157</v>
      </c>
      <c r="O177" s="11">
        <v>6</v>
      </c>
      <c r="P177" s="11" t="s">
        <v>72</v>
      </c>
      <c r="Q177" s="11">
        <v>3</v>
      </c>
      <c r="R177" s="11"/>
      <c r="S177" s="11"/>
      <c r="T177" s="11"/>
      <c r="U177" s="11"/>
      <c r="V177" s="11"/>
      <c r="W177" s="11"/>
      <c r="X177" s="11"/>
      <c r="Y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5">
        <f t="shared" si="5"/>
        <v>39</v>
      </c>
    </row>
    <row r="178" spans="1:48" ht="25.5" customHeight="1" x14ac:dyDescent="0.4">
      <c r="A178" s="49">
        <v>601</v>
      </c>
      <c r="B178" s="18" t="s">
        <v>398</v>
      </c>
      <c r="C178" s="18" t="s">
        <v>68</v>
      </c>
      <c r="D178" s="49">
        <f>K178+M178+O178+25</f>
        <v>50</v>
      </c>
      <c r="E178" s="73">
        <v>1</v>
      </c>
      <c r="F178" s="73" t="s">
        <v>50</v>
      </c>
      <c r="G178" s="49">
        <v>18</v>
      </c>
      <c r="H178" s="18" t="s">
        <v>383</v>
      </c>
      <c r="I178" s="25">
        <v>1</v>
      </c>
      <c r="J178" s="18" t="s">
        <v>52</v>
      </c>
      <c r="K178" s="49">
        <v>10</v>
      </c>
      <c r="L178" s="18" t="s">
        <v>98</v>
      </c>
      <c r="M178" s="49">
        <v>10</v>
      </c>
      <c r="N178" s="18" t="s">
        <v>100</v>
      </c>
      <c r="O178" s="49">
        <v>5</v>
      </c>
      <c r="P178" s="49" t="s">
        <v>72</v>
      </c>
      <c r="Q178" s="49">
        <v>3</v>
      </c>
      <c r="R178" s="49"/>
      <c r="S178" s="49"/>
      <c r="T178" s="49"/>
      <c r="U178" s="49"/>
      <c r="V178" s="49"/>
      <c r="W178" s="49"/>
      <c r="X178" s="49"/>
      <c r="Y178" s="49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>
        <f t="shared" si="5"/>
        <v>29</v>
      </c>
    </row>
    <row r="179" spans="1:48" ht="25.5" customHeight="1" x14ac:dyDescent="0.4">
      <c r="A179" s="49">
        <v>600</v>
      </c>
      <c r="B179" s="18" t="s">
        <v>399</v>
      </c>
      <c r="C179" s="18" t="s">
        <v>162</v>
      </c>
      <c r="D179" s="49">
        <f>K179+25</f>
        <v>55</v>
      </c>
      <c r="E179" s="73">
        <v>1</v>
      </c>
      <c r="F179" s="73" t="s">
        <v>50</v>
      </c>
      <c r="G179" s="49">
        <v>18</v>
      </c>
      <c r="H179" s="1" t="s">
        <v>383</v>
      </c>
      <c r="I179" s="17">
        <v>1</v>
      </c>
      <c r="J179" s="18" t="s">
        <v>400</v>
      </c>
      <c r="K179" s="49">
        <v>30</v>
      </c>
      <c r="L179" s="18" t="s">
        <v>343</v>
      </c>
      <c r="M179" s="49"/>
      <c r="N179" s="18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>
        <f t="shared" si="5"/>
        <v>31</v>
      </c>
    </row>
    <row r="180" spans="1:48" ht="25.5" customHeight="1" x14ac:dyDescent="0.4">
      <c r="A180" s="11">
        <v>599</v>
      </c>
      <c r="B180" s="29" t="s">
        <v>401</v>
      </c>
      <c r="C180" s="29" t="s">
        <v>162</v>
      </c>
      <c r="D180" s="29">
        <f>K180+M180+15</f>
        <v>45</v>
      </c>
      <c r="E180" s="74">
        <v>1</v>
      </c>
      <c r="F180" s="74" t="s">
        <v>50</v>
      </c>
      <c r="G180" s="29">
        <v>24</v>
      </c>
      <c r="H180" s="29" t="s">
        <v>402</v>
      </c>
      <c r="I180" s="13">
        <v>1</v>
      </c>
      <c r="J180" s="29" t="s">
        <v>166</v>
      </c>
      <c r="K180" s="29">
        <v>25</v>
      </c>
      <c r="L180" s="29" t="s">
        <v>205</v>
      </c>
      <c r="M180" s="29">
        <v>5</v>
      </c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5">
        <f t="shared" si="5"/>
        <v>31</v>
      </c>
    </row>
    <row r="181" spans="1:48" ht="25.5" customHeight="1" x14ac:dyDescent="0.4">
      <c r="A181" s="11">
        <v>598</v>
      </c>
      <c r="B181" s="29" t="s">
        <v>403</v>
      </c>
      <c r="C181" s="29" t="s">
        <v>162</v>
      </c>
      <c r="D181" s="34">
        <f>K181+M181+20</f>
        <v>50</v>
      </c>
      <c r="E181" s="35">
        <v>1</v>
      </c>
      <c r="F181" s="35" t="s">
        <v>50</v>
      </c>
      <c r="G181" s="34">
        <v>24</v>
      </c>
      <c r="H181" s="5" t="s">
        <v>404</v>
      </c>
      <c r="I181" s="13">
        <v>2</v>
      </c>
      <c r="J181" s="29" t="s">
        <v>339</v>
      </c>
      <c r="K181" s="29">
        <v>25</v>
      </c>
      <c r="L181" s="29" t="s">
        <v>340</v>
      </c>
      <c r="M181" s="34">
        <v>5</v>
      </c>
      <c r="N181" s="29"/>
      <c r="O181" s="34"/>
      <c r="P181" s="29"/>
      <c r="Q181" s="34"/>
      <c r="R181" s="34"/>
      <c r="S181" s="34"/>
      <c r="T181" s="29"/>
      <c r="U181" s="34"/>
      <c r="V181" s="34"/>
      <c r="W181" s="34"/>
      <c r="X181" s="34"/>
      <c r="Y181" s="34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5">
        <f t="shared" si="5"/>
        <v>32</v>
      </c>
    </row>
    <row r="182" spans="1:48" ht="12.75" customHeight="1" x14ac:dyDescent="0.4">
      <c r="A182" s="11">
        <v>597</v>
      </c>
      <c r="B182" s="29" t="s">
        <v>405</v>
      </c>
      <c r="C182" s="29" t="s">
        <v>162</v>
      </c>
      <c r="D182" s="34">
        <f>K182+M182+20</f>
        <v>50</v>
      </c>
      <c r="E182" s="35">
        <v>1</v>
      </c>
      <c r="F182" s="35" t="s">
        <v>50</v>
      </c>
      <c r="G182" s="34">
        <v>24</v>
      </c>
      <c r="H182" s="5" t="s">
        <v>404</v>
      </c>
      <c r="I182" s="13">
        <v>2</v>
      </c>
      <c r="J182" s="29" t="s">
        <v>166</v>
      </c>
      <c r="K182" s="29">
        <v>25</v>
      </c>
      <c r="L182" s="29" t="s">
        <v>216</v>
      </c>
      <c r="M182" s="29">
        <v>5</v>
      </c>
      <c r="N182" s="29" t="s">
        <v>167</v>
      </c>
      <c r="O182" s="34"/>
      <c r="P182" s="29"/>
      <c r="Q182" s="34"/>
      <c r="R182" s="34"/>
      <c r="S182" s="34"/>
      <c r="T182" s="29"/>
      <c r="U182" s="34"/>
      <c r="V182" s="34"/>
      <c r="W182" s="34"/>
      <c r="X182" s="34"/>
      <c r="Y182" s="34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5">
        <f t="shared" si="5"/>
        <v>32</v>
      </c>
    </row>
    <row r="183" spans="1:48" ht="25.5" customHeight="1" x14ac:dyDescent="0.4">
      <c r="A183" s="11">
        <v>596</v>
      </c>
      <c r="B183" s="29" t="s">
        <v>692</v>
      </c>
      <c r="C183" s="29" t="s">
        <v>162</v>
      </c>
      <c r="D183" s="34">
        <f>K183+M183+20</f>
        <v>55</v>
      </c>
      <c r="E183" s="35">
        <v>1</v>
      </c>
      <c r="F183" s="35" t="s">
        <v>50</v>
      </c>
      <c r="G183" s="34">
        <v>24</v>
      </c>
      <c r="H183" s="5" t="s">
        <v>404</v>
      </c>
      <c r="I183" s="13">
        <v>2</v>
      </c>
      <c r="J183" s="29" t="s">
        <v>164</v>
      </c>
      <c r="K183" s="29">
        <v>25</v>
      </c>
      <c r="L183" s="29" t="s">
        <v>336</v>
      </c>
      <c r="M183" s="29">
        <v>10</v>
      </c>
      <c r="N183" s="29"/>
      <c r="O183" s="34"/>
      <c r="P183" s="29"/>
      <c r="Q183" s="34"/>
      <c r="R183" s="34"/>
      <c r="S183" s="34"/>
      <c r="T183" s="29"/>
      <c r="U183" s="34"/>
      <c r="V183" s="34"/>
      <c r="W183" s="34"/>
      <c r="X183" s="34"/>
      <c r="Y183" s="34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5">
        <f t="shared" si="5"/>
        <v>37</v>
      </c>
    </row>
    <row r="184" spans="1:48" ht="25.5" customHeight="1" x14ac:dyDescent="0.4">
      <c r="A184" s="11">
        <v>595</v>
      </c>
      <c r="B184" s="29" t="s">
        <v>406</v>
      </c>
      <c r="C184" s="29" t="s">
        <v>162</v>
      </c>
      <c r="D184" s="34">
        <f>K184+15</f>
        <v>40</v>
      </c>
      <c r="E184" s="35">
        <v>1</v>
      </c>
      <c r="F184" s="35" t="s">
        <v>50</v>
      </c>
      <c r="G184" s="34">
        <v>24</v>
      </c>
      <c r="H184" s="5" t="s">
        <v>402</v>
      </c>
      <c r="I184" s="13">
        <v>1</v>
      </c>
      <c r="J184" s="29" t="s">
        <v>339</v>
      </c>
      <c r="K184" s="34">
        <v>25</v>
      </c>
      <c r="L184" s="29" t="s">
        <v>340</v>
      </c>
      <c r="M184" s="34"/>
      <c r="N184" s="29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5">
        <f t="shared" si="5"/>
        <v>26</v>
      </c>
    </row>
    <row r="185" spans="1:48" ht="12.75" customHeight="1" x14ac:dyDescent="0.4">
      <c r="A185" s="11">
        <v>594</v>
      </c>
      <c r="B185" s="1" t="s">
        <v>407</v>
      </c>
      <c r="C185" s="1" t="s">
        <v>49</v>
      </c>
      <c r="D185" s="11">
        <f>M185+O185+Q185+S185</f>
        <v>35</v>
      </c>
      <c r="E185" s="12">
        <v>1</v>
      </c>
      <c r="F185" s="12" t="s">
        <v>50</v>
      </c>
      <c r="G185" s="11">
        <v>24</v>
      </c>
      <c r="I185" s="13"/>
      <c r="J185" s="1"/>
      <c r="K185" s="11"/>
      <c r="L185" s="1" t="s">
        <v>74</v>
      </c>
      <c r="M185" s="11">
        <v>10</v>
      </c>
      <c r="N185" s="1" t="s">
        <v>386</v>
      </c>
      <c r="O185" s="11">
        <v>10</v>
      </c>
      <c r="P185" s="1" t="s">
        <v>157</v>
      </c>
      <c r="Q185" s="11">
        <v>10</v>
      </c>
      <c r="R185" s="11" t="s">
        <v>294</v>
      </c>
      <c r="S185" s="11">
        <v>5</v>
      </c>
      <c r="T185" s="1"/>
      <c r="U185" s="11"/>
      <c r="V185" s="11"/>
      <c r="W185" s="11"/>
      <c r="X185" s="11"/>
      <c r="Y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5">
        <f t="shared" si="5"/>
        <v>35</v>
      </c>
    </row>
    <row r="186" spans="1:48" ht="25.5" customHeight="1" x14ac:dyDescent="0.4">
      <c r="A186" s="49">
        <v>593</v>
      </c>
      <c r="B186" s="33" t="s">
        <v>408</v>
      </c>
      <c r="C186" s="33" t="s">
        <v>162</v>
      </c>
      <c r="D186" s="33">
        <f>K186+M186+15</f>
        <v>55</v>
      </c>
      <c r="E186" s="75">
        <v>1</v>
      </c>
      <c r="F186" s="75" t="s">
        <v>50</v>
      </c>
      <c r="G186" s="33">
        <v>24</v>
      </c>
      <c r="H186" s="5" t="s">
        <v>402</v>
      </c>
      <c r="I186" s="25">
        <v>1</v>
      </c>
      <c r="J186" s="33"/>
      <c r="K186" s="33">
        <v>20</v>
      </c>
      <c r="L186" s="33" t="s">
        <v>339</v>
      </c>
      <c r="M186" s="33">
        <v>20</v>
      </c>
      <c r="N186" s="76" t="s">
        <v>340</v>
      </c>
      <c r="O186" s="33">
        <v>2</v>
      </c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>
        <f t="shared" si="5"/>
        <v>43</v>
      </c>
    </row>
    <row r="187" spans="1:48" ht="12.75" customHeight="1" x14ac:dyDescent="0.4">
      <c r="A187" s="11">
        <v>592</v>
      </c>
      <c r="B187" s="29" t="s">
        <v>409</v>
      </c>
      <c r="C187" s="29" t="s">
        <v>68</v>
      </c>
      <c r="D187" s="77">
        <f t="shared" ref="D187:D192" si="6">K187+M187+O187+Q187+S187+30</f>
        <v>75</v>
      </c>
      <c r="E187" s="35">
        <v>1</v>
      </c>
      <c r="F187" s="35" t="s">
        <v>50</v>
      </c>
      <c r="G187" s="34">
        <v>18</v>
      </c>
      <c r="H187" s="5" t="s">
        <v>51</v>
      </c>
      <c r="I187" s="36">
        <v>0.2</v>
      </c>
      <c r="J187" s="29" t="s">
        <v>52</v>
      </c>
      <c r="K187" s="34">
        <f>80/8</f>
        <v>10</v>
      </c>
      <c r="L187" s="29" t="s">
        <v>82</v>
      </c>
      <c r="M187" s="77">
        <f>80/8</f>
        <v>10</v>
      </c>
      <c r="N187" s="29" t="s">
        <v>127</v>
      </c>
      <c r="O187" s="34">
        <f>200/8</f>
        <v>25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5">
        <f t="shared" si="5"/>
        <v>45.2</v>
      </c>
    </row>
    <row r="188" spans="1:48" ht="25.5" customHeight="1" x14ac:dyDescent="0.4">
      <c r="A188" s="11">
        <v>591</v>
      </c>
      <c r="B188" s="29" t="s">
        <v>410</v>
      </c>
      <c r="C188" s="29" t="s">
        <v>68</v>
      </c>
      <c r="D188" s="34">
        <f t="shared" si="6"/>
        <v>90</v>
      </c>
      <c r="E188" s="74">
        <v>1</v>
      </c>
      <c r="F188" s="74" t="s">
        <v>50</v>
      </c>
      <c r="G188" s="29">
        <v>18</v>
      </c>
      <c r="H188" s="5" t="s">
        <v>51</v>
      </c>
      <c r="I188" s="36">
        <v>0.2</v>
      </c>
      <c r="J188" s="29" t="s">
        <v>52</v>
      </c>
      <c r="K188" s="29">
        <f>120/8</f>
        <v>15</v>
      </c>
      <c r="L188" s="29" t="s">
        <v>83</v>
      </c>
      <c r="M188" s="29">
        <f>200/8</f>
        <v>25</v>
      </c>
      <c r="N188" s="29" t="s">
        <v>84</v>
      </c>
      <c r="O188" s="29">
        <f>120/8</f>
        <v>15</v>
      </c>
      <c r="P188" s="29" t="s">
        <v>128</v>
      </c>
      <c r="Q188" s="29">
        <f>40/8</f>
        <v>5</v>
      </c>
      <c r="R188" s="29"/>
      <c r="S188" s="29"/>
      <c r="T188" s="29"/>
      <c r="U188" s="29"/>
      <c r="V188" s="29"/>
      <c r="W188" s="29"/>
      <c r="X188" s="29"/>
      <c r="Y188" s="29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5">
        <f t="shared" si="5"/>
        <v>60.2</v>
      </c>
    </row>
    <row r="189" spans="1:48" ht="25.5" customHeight="1" x14ac:dyDescent="0.4">
      <c r="A189" s="49">
        <v>590</v>
      </c>
      <c r="B189" s="33" t="s">
        <v>411</v>
      </c>
      <c r="C189" s="33" t="s">
        <v>68</v>
      </c>
      <c r="D189" s="30">
        <f t="shared" si="6"/>
        <v>80</v>
      </c>
      <c r="E189" s="78">
        <v>1</v>
      </c>
      <c r="F189" s="78" t="s">
        <v>50</v>
      </c>
      <c r="G189" s="30">
        <v>18</v>
      </c>
      <c r="H189" s="5" t="s">
        <v>51</v>
      </c>
      <c r="I189" s="79">
        <v>0.2</v>
      </c>
      <c r="J189" s="33" t="s">
        <v>78</v>
      </c>
      <c r="K189" s="30">
        <f>120/8</f>
        <v>15</v>
      </c>
      <c r="L189" s="33" t="s">
        <v>79</v>
      </c>
      <c r="M189" s="30">
        <v>25</v>
      </c>
      <c r="N189" s="33" t="s">
        <v>80</v>
      </c>
      <c r="O189" s="30">
        <v>10</v>
      </c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>
        <f t="shared" si="5"/>
        <v>50.2</v>
      </c>
    </row>
    <row r="190" spans="1:48" ht="25.5" customHeight="1" x14ac:dyDescent="0.4">
      <c r="A190" s="11">
        <v>589</v>
      </c>
      <c r="B190" s="29" t="s">
        <v>412</v>
      </c>
      <c r="C190" s="29" t="s">
        <v>68</v>
      </c>
      <c r="D190" s="34">
        <f t="shared" si="6"/>
        <v>75</v>
      </c>
      <c r="E190" s="35">
        <v>1</v>
      </c>
      <c r="F190" s="35" t="s">
        <v>50</v>
      </c>
      <c r="G190" s="34">
        <v>18</v>
      </c>
      <c r="H190" s="5" t="s">
        <v>51</v>
      </c>
      <c r="I190" s="36">
        <v>0.2</v>
      </c>
      <c r="J190" s="29" t="s">
        <v>52</v>
      </c>
      <c r="K190" s="34">
        <f>120/8</f>
        <v>15</v>
      </c>
      <c r="L190" s="29" t="s">
        <v>89</v>
      </c>
      <c r="M190" s="34">
        <v>20</v>
      </c>
      <c r="N190" s="29" t="s">
        <v>90</v>
      </c>
      <c r="O190" s="34">
        <v>10</v>
      </c>
      <c r="P190" s="34" t="s">
        <v>91</v>
      </c>
      <c r="Q190" s="34"/>
      <c r="R190" s="34"/>
      <c r="S190" s="34"/>
      <c r="T190" s="34"/>
      <c r="U190" s="34"/>
      <c r="V190" s="34"/>
      <c r="W190" s="34"/>
      <c r="X190" s="34"/>
      <c r="Y190" s="34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5">
        <f t="shared" si="5"/>
        <v>45.2</v>
      </c>
    </row>
    <row r="191" spans="1:48" ht="25.5" customHeight="1" x14ac:dyDescent="0.4">
      <c r="A191" s="11">
        <v>588</v>
      </c>
      <c r="B191" s="29" t="s">
        <v>413</v>
      </c>
      <c r="C191" s="29" t="s">
        <v>68</v>
      </c>
      <c r="D191" s="77">
        <f t="shared" si="6"/>
        <v>74.25</v>
      </c>
      <c r="E191" s="35">
        <v>1</v>
      </c>
      <c r="F191" s="35" t="s">
        <v>50</v>
      </c>
      <c r="G191" s="34">
        <v>18</v>
      </c>
      <c r="H191" s="5" t="s">
        <v>51</v>
      </c>
      <c r="I191" s="36">
        <v>0.2</v>
      </c>
      <c r="J191" s="29" t="s">
        <v>86</v>
      </c>
      <c r="K191" s="34">
        <v>10</v>
      </c>
      <c r="L191" s="29" t="s">
        <v>236</v>
      </c>
      <c r="M191" s="34">
        <v>10</v>
      </c>
      <c r="N191" s="29" t="s">
        <v>237</v>
      </c>
      <c r="O191" s="34">
        <v>10</v>
      </c>
      <c r="P191" s="34" t="s">
        <v>55</v>
      </c>
      <c r="Q191" s="34">
        <v>8</v>
      </c>
      <c r="R191" s="34" t="s">
        <v>90</v>
      </c>
      <c r="S191" s="77">
        <f>50/8</f>
        <v>6.25</v>
      </c>
      <c r="T191" s="34"/>
      <c r="U191" s="34"/>
      <c r="V191" s="34"/>
      <c r="W191" s="34"/>
      <c r="X191" s="34"/>
      <c r="Y191" s="34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5">
        <f t="shared" si="5"/>
        <v>44.45</v>
      </c>
    </row>
    <row r="192" spans="1:48" ht="25.5" customHeight="1" x14ac:dyDescent="0.4">
      <c r="A192" s="49">
        <v>587</v>
      </c>
      <c r="B192" s="33" t="s">
        <v>414</v>
      </c>
      <c r="C192" s="33" t="s">
        <v>68</v>
      </c>
      <c r="D192" s="80">
        <f t="shared" si="6"/>
        <v>77.5</v>
      </c>
      <c r="E192" s="78">
        <v>1</v>
      </c>
      <c r="F192" s="78" t="s">
        <v>50</v>
      </c>
      <c r="G192" s="30">
        <v>18</v>
      </c>
      <c r="H192" s="5" t="s">
        <v>51</v>
      </c>
      <c r="I192" s="79">
        <v>0.2</v>
      </c>
      <c r="J192" s="33" t="s">
        <v>52</v>
      </c>
      <c r="K192" s="30">
        <f>120/8</f>
        <v>15</v>
      </c>
      <c r="L192" s="33" t="s">
        <v>98</v>
      </c>
      <c r="M192" s="80">
        <f>100/8</f>
        <v>12.5</v>
      </c>
      <c r="N192" s="33" t="s">
        <v>96</v>
      </c>
      <c r="O192" s="80">
        <f>60/8</f>
        <v>7.5</v>
      </c>
      <c r="P192" s="30" t="s">
        <v>64</v>
      </c>
      <c r="Q192" s="80">
        <f>50/8</f>
        <v>6.25</v>
      </c>
      <c r="R192" s="30" t="s">
        <v>90</v>
      </c>
      <c r="S192" s="80">
        <f>50/8</f>
        <v>6.25</v>
      </c>
      <c r="T192" s="30"/>
      <c r="U192" s="30"/>
      <c r="V192" s="30"/>
      <c r="W192" s="30"/>
      <c r="X192" s="30"/>
      <c r="Y192" s="30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>
        <f t="shared" si="5"/>
        <v>47.7</v>
      </c>
    </row>
    <row r="193" spans="1:55" ht="25.5" customHeight="1" x14ac:dyDescent="0.4">
      <c r="A193" s="49">
        <v>586</v>
      </c>
      <c r="B193" s="33" t="s">
        <v>415</v>
      </c>
      <c r="C193" s="33" t="s">
        <v>162</v>
      </c>
      <c r="D193" s="33">
        <f>K193+M193+15</f>
        <v>40</v>
      </c>
      <c r="E193" s="75">
        <v>1</v>
      </c>
      <c r="F193" s="75" t="s">
        <v>50</v>
      </c>
      <c r="G193" s="33">
        <v>24</v>
      </c>
      <c r="H193" s="5" t="s">
        <v>402</v>
      </c>
      <c r="I193" s="81">
        <v>1</v>
      </c>
      <c r="J193" s="33" t="s">
        <v>284</v>
      </c>
      <c r="K193" s="33">
        <v>20</v>
      </c>
      <c r="L193" s="33" t="s">
        <v>128</v>
      </c>
      <c r="M193" s="33">
        <v>5</v>
      </c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>
        <f t="shared" si="5"/>
        <v>26</v>
      </c>
    </row>
    <row r="194" spans="1:55" ht="25.5" customHeight="1" x14ac:dyDescent="0.4">
      <c r="A194" s="11">
        <v>585</v>
      </c>
      <c r="B194" s="1" t="s">
        <v>416</v>
      </c>
      <c r="C194" s="1" t="s">
        <v>235</v>
      </c>
      <c r="D194" s="11">
        <f>M194+K194</f>
        <v>1580</v>
      </c>
      <c r="E194" s="12">
        <v>1</v>
      </c>
      <c r="F194" s="12" t="s">
        <v>50</v>
      </c>
      <c r="G194" s="11">
        <v>1</v>
      </c>
      <c r="I194" s="13"/>
      <c r="J194" s="1" t="s">
        <v>86</v>
      </c>
      <c r="K194" s="11">
        <v>80</v>
      </c>
      <c r="L194" s="1" t="s">
        <v>53</v>
      </c>
      <c r="M194" s="11">
        <v>1500</v>
      </c>
      <c r="N194" s="1" t="s">
        <v>72</v>
      </c>
      <c r="O194" s="11"/>
      <c r="P194" s="11" t="s">
        <v>109</v>
      </c>
      <c r="Q194" s="11">
        <v>5</v>
      </c>
      <c r="R194" s="11" t="s">
        <v>56</v>
      </c>
      <c r="S194" s="11">
        <v>5</v>
      </c>
      <c r="T194" s="1" t="s">
        <v>417</v>
      </c>
      <c r="U194" s="11">
        <v>200</v>
      </c>
      <c r="V194" s="11" t="s">
        <v>418</v>
      </c>
      <c r="W194" s="11">
        <v>200</v>
      </c>
      <c r="X194" s="11"/>
      <c r="Y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5">
        <f t="shared" si="5"/>
        <v>1990</v>
      </c>
    </row>
    <row r="195" spans="1:55" ht="25.5" customHeight="1" x14ac:dyDescent="0.4">
      <c r="A195" s="49">
        <v>584</v>
      </c>
      <c r="B195" s="18" t="s">
        <v>419</v>
      </c>
      <c r="C195" s="18" t="s">
        <v>235</v>
      </c>
      <c r="D195" s="49">
        <f>K195+M195</f>
        <v>680</v>
      </c>
      <c r="E195" s="73">
        <v>1</v>
      </c>
      <c r="F195" s="73" t="s">
        <v>50</v>
      </c>
      <c r="G195" s="18">
        <v>1</v>
      </c>
      <c r="I195" s="82"/>
      <c r="J195" s="18" t="s">
        <v>86</v>
      </c>
      <c r="K195" s="49">
        <v>80</v>
      </c>
      <c r="L195" s="18" t="s">
        <v>53</v>
      </c>
      <c r="M195" s="49">
        <v>600</v>
      </c>
      <c r="N195" s="18" t="s">
        <v>109</v>
      </c>
      <c r="O195" s="49"/>
      <c r="P195" s="18" t="s">
        <v>226</v>
      </c>
      <c r="Q195" s="49">
        <v>5</v>
      </c>
      <c r="R195" s="49" t="s">
        <v>418</v>
      </c>
      <c r="S195" s="49">
        <v>5</v>
      </c>
      <c r="T195" s="18" t="s">
        <v>417</v>
      </c>
      <c r="U195" s="49">
        <v>100</v>
      </c>
      <c r="V195" s="49" t="s">
        <v>418</v>
      </c>
      <c r="W195" s="49">
        <v>100</v>
      </c>
      <c r="X195" s="49"/>
      <c r="Y195" s="49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>
        <f t="shared" si="5"/>
        <v>890</v>
      </c>
    </row>
    <row r="196" spans="1:55" ht="25.5" customHeight="1" x14ac:dyDescent="0.4">
      <c r="A196" s="30">
        <v>583</v>
      </c>
      <c r="B196" s="18" t="s">
        <v>420</v>
      </c>
      <c r="C196" s="18" t="s">
        <v>235</v>
      </c>
      <c r="D196" s="18">
        <f>M196+O196+Q196+U196</f>
        <v>680</v>
      </c>
      <c r="E196" s="83">
        <v>1</v>
      </c>
      <c r="F196" s="83" t="s">
        <v>50</v>
      </c>
      <c r="G196" s="18">
        <v>1</v>
      </c>
      <c r="I196" s="84"/>
      <c r="J196" s="18"/>
      <c r="K196" s="18"/>
      <c r="L196" s="18" t="s">
        <v>89</v>
      </c>
      <c r="M196" s="18">
        <v>500</v>
      </c>
      <c r="N196" s="18" t="s">
        <v>329</v>
      </c>
      <c r="O196" s="18">
        <v>70</v>
      </c>
      <c r="P196" s="18" t="s">
        <v>91</v>
      </c>
      <c r="Q196" s="18">
        <v>10</v>
      </c>
      <c r="R196" s="18" t="s">
        <v>72</v>
      </c>
      <c r="S196" s="18">
        <v>3</v>
      </c>
      <c r="T196" s="18" t="s">
        <v>65</v>
      </c>
      <c r="U196" s="18">
        <v>100</v>
      </c>
      <c r="V196" s="18" t="s">
        <v>76</v>
      </c>
      <c r="W196" s="18"/>
      <c r="X196" s="18" t="s">
        <v>87</v>
      </c>
      <c r="Y196" s="18"/>
      <c r="Z196" s="34"/>
      <c r="AA196" s="34"/>
      <c r="AB196" s="34"/>
      <c r="AC196" s="34"/>
      <c r="AD196" s="34"/>
      <c r="AE196" s="34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>
        <f t="shared" si="5"/>
        <v>683</v>
      </c>
      <c r="AW196" s="34"/>
      <c r="AX196" s="34"/>
      <c r="AY196" s="34"/>
      <c r="AZ196" s="34"/>
      <c r="BA196" s="34"/>
      <c r="BB196" s="34"/>
      <c r="BC196" s="34"/>
    </row>
    <row r="197" spans="1:55" ht="25.5" customHeight="1" x14ac:dyDescent="0.4">
      <c r="A197" s="20">
        <v>582</v>
      </c>
      <c r="B197" s="19" t="s">
        <v>421</v>
      </c>
      <c r="C197" s="19" t="s">
        <v>422</v>
      </c>
      <c r="D197" s="20">
        <f>M197+O197+Q197+S197+U197</f>
        <v>80</v>
      </c>
      <c r="E197" s="21">
        <v>1</v>
      </c>
      <c r="F197" s="21" t="s">
        <v>50</v>
      </c>
      <c r="G197" s="20">
        <v>11</v>
      </c>
      <c r="I197" s="22"/>
      <c r="J197" s="19"/>
      <c r="K197" s="20"/>
      <c r="L197" s="19" t="s">
        <v>423</v>
      </c>
      <c r="M197" s="20">
        <v>15</v>
      </c>
      <c r="N197" s="19" t="s">
        <v>348</v>
      </c>
      <c r="O197" s="20">
        <v>15</v>
      </c>
      <c r="P197" s="20" t="s">
        <v>337</v>
      </c>
      <c r="Q197" s="20">
        <v>15</v>
      </c>
      <c r="R197" s="20" t="s">
        <v>336</v>
      </c>
      <c r="S197" s="20">
        <v>15</v>
      </c>
      <c r="T197" s="20" t="s">
        <v>80</v>
      </c>
      <c r="U197" s="20">
        <v>20</v>
      </c>
      <c r="V197" s="20" t="s">
        <v>249</v>
      </c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>
        <f t="shared" si="5"/>
        <v>80</v>
      </c>
      <c r="AW197" s="20"/>
      <c r="AX197" s="30"/>
      <c r="AY197" s="30"/>
      <c r="AZ197" s="30"/>
      <c r="BA197" s="30"/>
      <c r="BB197" s="30"/>
      <c r="BC197" s="30"/>
    </row>
    <row r="198" spans="1:55" ht="12.75" customHeight="1" x14ac:dyDescent="0.4">
      <c r="A198" s="20">
        <v>581</v>
      </c>
      <c r="B198" s="15" t="s">
        <v>424</v>
      </c>
      <c r="C198" s="15" t="s">
        <v>49</v>
      </c>
      <c r="D198" s="14">
        <f>K198+M198+O198+5</f>
        <v>100</v>
      </c>
      <c r="E198" s="16">
        <v>1</v>
      </c>
      <c r="F198" s="16" t="s">
        <v>50</v>
      </c>
      <c r="G198" s="14">
        <v>11</v>
      </c>
      <c r="I198" s="17">
        <v>0.1</v>
      </c>
      <c r="J198" s="15" t="s">
        <v>86</v>
      </c>
      <c r="K198" s="14">
        <v>25</v>
      </c>
      <c r="L198" s="15" t="s">
        <v>53</v>
      </c>
      <c r="M198" s="14">
        <v>60</v>
      </c>
      <c r="N198" s="15" t="s">
        <v>238</v>
      </c>
      <c r="O198" s="14">
        <v>10</v>
      </c>
      <c r="P198" s="15" t="s">
        <v>72</v>
      </c>
      <c r="Q198" s="14">
        <v>3</v>
      </c>
      <c r="R198" s="14" t="s">
        <v>66</v>
      </c>
      <c r="S198" s="14">
        <v>5</v>
      </c>
      <c r="T198" s="14" t="s">
        <v>109</v>
      </c>
      <c r="U198" s="14">
        <v>10</v>
      </c>
      <c r="V198" s="14" t="s">
        <v>417</v>
      </c>
      <c r="W198" s="14">
        <v>10</v>
      </c>
      <c r="X198" s="14" t="s">
        <v>418</v>
      </c>
      <c r="Y198" s="14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>
        <f t="shared" si="5"/>
        <v>123.1</v>
      </c>
      <c r="AW198" s="20"/>
      <c r="AX198" s="30"/>
      <c r="AY198" s="30"/>
      <c r="AZ198" s="30"/>
      <c r="BA198" s="30"/>
      <c r="BB198" s="30"/>
      <c r="BC198" s="30"/>
    </row>
    <row r="199" spans="1:55" ht="25.5" customHeight="1" x14ac:dyDescent="0.4">
      <c r="A199" s="20">
        <v>580</v>
      </c>
      <c r="B199" s="15" t="s">
        <v>425</v>
      </c>
      <c r="C199" s="15" t="s">
        <v>49</v>
      </c>
      <c r="D199" s="14">
        <f>M199+O199+Q199+S199</f>
        <v>90</v>
      </c>
      <c r="E199" s="16">
        <v>1</v>
      </c>
      <c r="F199" s="16" t="s">
        <v>50</v>
      </c>
      <c r="G199" s="14">
        <v>11</v>
      </c>
      <c r="I199" s="17"/>
      <c r="J199" s="15"/>
      <c r="K199" s="14"/>
      <c r="L199" s="15" t="s">
        <v>272</v>
      </c>
      <c r="M199" s="14">
        <v>60</v>
      </c>
      <c r="N199" s="15" t="s">
        <v>71</v>
      </c>
      <c r="O199" s="14">
        <v>20</v>
      </c>
      <c r="P199" s="15" t="s">
        <v>65</v>
      </c>
      <c r="Q199" s="14">
        <v>5</v>
      </c>
      <c r="R199" s="14" t="s">
        <v>100</v>
      </c>
      <c r="S199" s="14">
        <v>5</v>
      </c>
      <c r="T199" s="14" t="s">
        <v>72</v>
      </c>
      <c r="U199" s="14"/>
      <c r="V199" s="14" t="s">
        <v>66</v>
      </c>
      <c r="W199" s="14">
        <v>2</v>
      </c>
      <c r="X199" s="14"/>
      <c r="Y199" s="14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>
        <f t="shared" si="5"/>
        <v>92</v>
      </c>
      <c r="AW199" s="20"/>
      <c r="AX199" s="30"/>
      <c r="AY199" s="30"/>
      <c r="AZ199" s="30"/>
      <c r="BA199" s="30"/>
      <c r="BB199" s="30"/>
      <c r="BC199" s="30"/>
    </row>
    <row r="200" spans="1:55" ht="12.75" customHeight="1" x14ac:dyDescent="0.4">
      <c r="A200" s="19">
        <v>579</v>
      </c>
      <c r="B200" s="15" t="s">
        <v>426</v>
      </c>
      <c r="C200" s="15" t="s">
        <v>49</v>
      </c>
      <c r="D200" s="14">
        <f>M200+O200+S200+U200+W200+10</f>
        <v>95</v>
      </c>
      <c r="E200" s="16">
        <v>1</v>
      </c>
      <c r="F200" s="16" t="s">
        <v>50</v>
      </c>
      <c r="G200" s="14">
        <v>11</v>
      </c>
      <c r="I200" s="17">
        <v>0.1</v>
      </c>
      <c r="J200" s="15"/>
      <c r="K200" s="14"/>
      <c r="L200" s="15" t="s">
        <v>237</v>
      </c>
      <c r="M200" s="14">
        <v>20</v>
      </c>
      <c r="N200" s="15" t="s">
        <v>236</v>
      </c>
      <c r="O200" s="14">
        <v>20</v>
      </c>
      <c r="P200" s="15" t="s">
        <v>111</v>
      </c>
      <c r="Q200" s="14">
        <v>15</v>
      </c>
      <c r="R200" s="15" t="s">
        <v>427</v>
      </c>
      <c r="S200" s="14">
        <v>25</v>
      </c>
      <c r="T200" s="14" t="s">
        <v>157</v>
      </c>
      <c r="U200" s="14">
        <v>10</v>
      </c>
      <c r="V200" s="14" t="s">
        <v>294</v>
      </c>
      <c r="W200" s="14">
        <v>10</v>
      </c>
      <c r="X200" s="14" t="s">
        <v>56</v>
      </c>
      <c r="Y200" s="14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>
        <f t="shared" si="5"/>
        <v>100.1</v>
      </c>
      <c r="AW200" s="19"/>
      <c r="AX200" s="33"/>
      <c r="AY200" s="33"/>
      <c r="AZ200" s="33"/>
      <c r="BA200" s="33"/>
      <c r="BB200" s="33"/>
      <c r="BC200" s="33"/>
    </row>
    <row r="201" spans="1:55" ht="25.5" customHeight="1" x14ac:dyDescent="0.4">
      <c r="A201" s="20">
        <v>578</v>
      </c>
      <c r="B201" s="15" t="s">
        <v>428</v>
      </c>
      <c r="C201" s="15" t="s">
        <v>49</v>
      </c>
      <c r="D201" s="14">
        <f>M201+O201+Q201+S201</f>
        <v>100</v>
      </c>
      <c r="E201" s="16">
        <v>1</v>
      </c>
      <c r="F201" s="16" t="s">
        <v>50</v>
      </c>
      <c r="G201" s="14">
        <v>11</v>
      </c>
      <c r="I201" s="17">
        <v>0.1</v>
      </c>
      <c r="J201" s="15"/>
      <c r="K201" s="49"/>
      <c r="L201" s="15" t="s">
        <v>79</v>
      </c>
      <c r="M201" s="14">
        <v>30</v>
      </c>
      <c r="N201" s="15" t="s">
        <v>96</v>
      </c>
      <c r="O201" s="14">
        <v>30</v>
      </c>
      <c r="P201" s="15" t="s">
        <v>79</v>
      </c>
      <c r="Q201" s="14">
        <v>30</v>
      </c>
      <c r="R201" s="14" t="s">
        <v>75</v>
      </c>
      <c r="S201" s="14">
        <v>10</v>
      </c>
      <c r="T201" s="14" t="s">
        <v>249</v>
      </c>
      <c r="U201" s="14"/>
      <c r="V201" s="14" t="s">
        <v>429</v>
      </c>
      <c r="W201" s="14"/>
      <c r="X201" s="14"/>
      <c r="Y201" s="14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>
        <f t="shared" si="5"/>
        <v>100.1</v>
      </c>
      <c r="AW201" s="20"/>
      <c r="AX201" s="20"/>
      <c r="AY201" s="20"/>
      <c r="AZ201" s="30"/>
      <c r="BA201" s="30"/>
      <c r="BB201" s="30"/>
      <c r="BC201" s="30"/>
    </row>
    <row r="202" spans="1:55" ht="25.5" customHeight="1" x14ac:dyDescent="0.4">
      <c r="A202" s="19">
        <v>577</v>
      </c>
      <c r="B202" s="19" t="s">
        <v>430</v>
      </c>
      <c r="C202" s="19" t="s">
        <v>162</v>
      </c>
      <c r="D202" s="20">
        <f>M202+Q202+S202+O202</f>
        <v>110</v>
      </c>
      <c r="E202" s="21">
        <v>1</v>
      </c>
      <c r="F202" s="21" t="s">
        <v>50</v>
      </c>
      <c r="G202" s="19">
        <v>11</v>
      </c>
      <c r="I202" s="22"/>
      <c r="J202" s="19"/>
      <c r="K202"/>
      <c r="L202" s="19" t="s">
        <v>222</v>
      </c>
      <c r="M202" s="19">
        <v>40</v>
      </c>
      <c r="N202" s="20" t="s">
        <v>217</v>
      </c>
      <c r="O202" s="19">
        <v>50</v>
      </c>
      <c r="P202" s="85" t="s">
        <v>431</v>
      </c>
      <c r="Q202" s="20">
        <v>10</v>
      </c>
      <c r="R202" s="20" t="s">
        <v>432</v>
      </c>
      <c r="S202" s="20">
        <v>10</v>
      </c>
      <c r="T202" s="20"/>
      <c r="U202" s="20"/>
      <c r="V202" s="20"/>
      <c r="W202" s="20"/>
      <c r="X202" s="20"/>
      <c r="Y202" s="20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>
        <f t="shared" si="5"/>
        <v>110</v>
      </c>
      <c r="AW202" s="19"/>
      <c r="AX202" s="19"/>
      <c r="AY202" s="19"/>
      <c r="AZ202" s="33"/>
      <c r="BA202" s="33"/>
      <c r="BB202" s="33"/>
      <c r="BC202" s="33"/>
    </row>
    <row r="203" spans="1:55" ht="12.75" customHeight="1" x14ac:dyDescent="0.4">
      <c r="A203" s="20">
        <v>576</v>
      </c>
      <c r="B203" s="15" t="s">
        <v>433</v>
      </c>
      <c r="C203" s="15" t="s">
        <v>347</v>
      </c>
      <c r="D203" s="14"/>
      <c r="E203" s="16">
        <v>1</v>
      </c>
      <c r="F203" s="16" t="s">
        <v>50</v>
      </c>
      <c r="G203" s="14"/>
      <c r="I203" s="17"/>
      <c r="J203" s="15"/>
      <c r="K203" s="11"/>
      <c r="L203" s="15"/>
      <c r="M203" s="14"/>
      <c r="N203" s="15"/>
      <c r="O203" s="14"/>
      <c r="P203" s="11"/>
      <c r="Q203" s="14"/>
      <c r="R203" s="14"/>
      <c r="S203" s="14"/>
      <c r="T203" s="14"/>
      <c r="U203" s="14"/>
      <c r="V203" s="14"/>
      <c r="W203" s="14"/>
      <c r="X203" s="14"/>
      <c r="Y203" s="14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>
        <f t="shared" si="5"/>
        <v>0</v>
      </c>
      <c r="AW203" s="20"/>
      <c r="AX203" s="20"/>
      <c r="AY203" s="20"/>
      <c r="AZ203" s="30"/>
      <c r="BA203" s="30"/>
      <c r="BB203" s="30"/>
      <c r="BC203" s="30"/>
    </row>
    <row r="204" spans="1:55" ht="12.75" customHeight="1" x14ac:dyDescent="0.4">
      <c r="A204" s="34">
        <v>575</v>
      </c>
      <c r="B204" s="1" t="s">
        <v>434</v>
      </c>
      <c r="C204" s="1" t="s">
        <v>347</v>
      </c>
      <c r="D204" s="11"/>
      <c r="E204" s="12">
        <v>1</v>
      </c>
      <c r="F204" s="12" t="s">
        <v>50</v>
      </c>
      <c r="G204" s="11"/>
      <c r="I204" s="13"/>
      <c r="J204" s="1"/>
      <c r="K204" s="11"/>
      <c r="L204" s="1"/>
      <c r="M204" s="11"/>
      <c r="N204" s="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5">
        <f t="shared" si="5"/>
        <v>0</v>
      </c>
      <c r="AW204" s="34"/>
      <c r="AX204" s="34"/>
      <c r="AY204" s="34"/>
      <c r="AZ204" s="34"/>
      <c r="BA204" s="34"/>
      <c r="BB204" s="34"/>
      <c r="BC204" s="34"/>
    </row>
    <row r="205" spans="1:55" ht="12.75" customHeight="1" x14ac:dyDescent="0.4">
      <c r="A205" s="34">
        <v>574</v>
      </c>
      <c r="B205" s="29" t="s">
        <v>435</v>
      </c>
      <c r="C205" s="29" t="s">
        <v>162</v>
      </c>
      <c r="D205" s="34">
        <f>M205+O205+Q205+S205</f>
        <v>130</v>
      </c>
      <c r="E205" s="35">
        <v>1</v>
      </c>
      <c r="F205" s="35" t="s">
        <v>50</v>
      </c>
      <c r="G205" s="34">
        <v>11</v>
      </c>
      <c r="I205" s="36"/>
      <c r="J205" s="29"/>
      <c r="K205" s="34"/>
      <c r="L205" s="29" t="s">
        <v>329</v>
      </c>
      <c r="M205" s="34">
        <v>70</v>
      </c>
      <c r="N205" s="29" t="s">
        <v>436</v>
      </c>
      <c r="O205" s="34">
        <v>30</v>
      </c>
      <c r="P205" s="34" t="s">
        <v>285</v>
      </c>
      <c r="Q205" s="34">
        <v>10</v>
      </c>
      <c r="R205" s="34" t="s">
        <v>437</v>
      </c>
      <c r="S205" s="34">
        <v>20</v>
      </c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5">
        <f t="shared" ref="AV205:AV210" si="7">SUM(I205,K205,M205,O205,Q205,S205,U205,W205,Y205,AA205,AC205,AE205,AG205,AI205,AK205,AM205,AO205,AQ205,AS205,AU205)</f>
        <v>130</v>
      </c>
      <c r="AW205" s="34"/>
      <c r="AX205" s="34"/>
      <c r="AY205" s="34"/>
      <c r="AZ205" s="34"/>
      <c r="BA205" s="34"/>
      <c r="BB205" s="34"/>
      <c r="BC205" s="34"/>
    </row>
    <row r="206" spans="1:55" ht="12.75" customHeight="1" x14ac:dyDescent="0.4">
      <c r="A206" s="8">
        <v>573</v>
      </c>
      <c r="B206" s="7" t="s">
        <v>438</v>
      </c>
      <c r="C206" s="7" t="s">
        <v>162</v>
      </c>
      <c r="D206" s="8">
        <f>M206+O206+Q206+S206</f>
        <v>130</v>
      </c>
      <c r="E206" s="9">
        <v>1</v>
      </c>
      <c r="F206" s="9" t="s">
        <v>50</v>
      </c>
      <c r="G206" s="8">
        <v>11</v>
      </c>
      <c r="I206" s="10"/>
      <c r="J206" s="7"/>
      <c r="K206" s="30"/>
      <c r="L206" s="7" t="s">
        <v>329</v>
      </c>
      <c r="M206" s="8">
        <v>70</v>
      </c>
      <c r="N206" s="7" t="s">
        <v>439</v>
      </c>
      <c r="O206" s="8">
        <v>30</v>
      </c>
      <c r="P206" s="8" t="s">
        <v>216</v>
      </c>
      <c r="Q206" s="8">
        <v>10</v>
      </c>
      <c r="R206" s="8" t="s">
        <v>281</v>
      </c>
      <c r="S206" s="8">
        <v>20</v>
      </c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>
        <f t="shared" si="7"/>
        <v>130</v>
      </c>
      <c r="AW206" s="8"/>
      <c r="AX206" s="8"/>
      <c r="AY206" s="8"/>
      <c r="AZ206" s="30"/>
      <c r="BA206" s="30"/>
      <c r="BB206" s="30"/>
      <c r="BC206" s="30"/>
    </row>
    <row r="207" spans="1:55" ht="25.5" customHeight="1" x14ac:dyDescent="0.4">
      <c r="A207" s="20">
        <v>572</v>
      </c>
      <c r="B207" s="15" t="s">
        <v>440</v>
      </c>
      <c r="C207" s="15" t="s">
        <v>59</v>
      </c>
      <c r="D207" s="14">
        <v>1</v>
      </c>
      <c r="E207" s="16">
        <v>1</v>
      </c>
      <c r="F207" s="16" t="s">
        <v>50</v>
      </c>
      <c r="G207" s="14"/>
      <c r="H207" s="15" t="s">
        <v>440</v>
      </c>
      <c r="I207" s="17">
        <v>1</v>
      </c>
      <c r="J207" s="15"/>
      <c r="K207" s="49"/>
      <c r="L207" s="15"/>
      <c r="M207" s="14"/>
      <c r="N207" s="15"/>
      <c r="O207" s="14"/>
      <c r="P207" s="15"/>
      <c r="Q207" s="14"/>
      <c r="R207" s="14"/>
      <c r="S207" s="14"/>
      <c r="T207" s="15"/>
      <c r="U207" s="14"/>
      <c r="V207" s="14"/>
      <c r="W207" s="14"/>
      <c r="X207" s="14"/>
      <c r="Y207" s="14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>
        <f t="shared" si="7"/>
        <v>1</v>
      </c>
      <c r="AW207" s="20"/>
      <c r="AX207" s="20"/>
      <c r="AY207" s="20"/>
      <c r="AZ207" s="30"/>
      <c r="BA207" s="30"/>
      <c r="BB207" s="30"/>
      <c r="BC207" s="30"/>
    </row>
    <row r="208" spans="1:55" ht="12.75" customHeight="1" x14ac:dyDescent="0.4">
      <c r="A208" s="29">
        <v>571</v>
      </c>
      <c r="B208" s="1" t="s">
        <v>441</v>
      </c>
      <c r="C208" s="1" t="s">
        <v>125</v>
      </c>
      <c r="D208" s="11">
        <f>K208+M208+O208+10</f>
        <v>45</v>
      </c>
      <c r="E208" s="12">
        <v>1</v>
      </c>
      <c r="F208" s="12" t="s">
        <v>50</v>
      </c>
      <c r="G208" s="11">
        <v>30</v>
      </c>
      <c r="H208" s="5" t="s">
        <v>126</v>
      </c>
      <c r="I208" s="13">
        <v>0.1</v>
      </c>
      <c r="J208" s="1" t="s">
        <v>52</v>
      </c>
      <c r="K208" s="11">
        <v>10</v>
      </c>
      <c r="L208" s="1" t="s">
        <v>79</v>
      </c>
      <c r="M208" s="11">
        <v>20</v>
      </c>
      <c r="N208" s="1" t="s">
        <v>442</v>
      </c>
      <c r="O208" s="11">
        <v>5</v>
      </c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5">
        <f t="shared" si="7"/>
        <v>35.1</v>
      </c>
      <c r="AW208" s="29"/>
      <c r="AX208" s="29"/>
      <c r="AY208" s="29"/>
      <c r="AZ208" s="29"/>
      <c r="BA208" s="29"/>
      <c r="BB208" s="29"/>
      <c r="BC208" s="29"/>
    </row>
    <row r="209" spans="1:55" ht="25.5" customHeight="1" x14ac:dyDescent="0.4">
      <c r="A209" s="29">
        <v>570</v>
      </c>
      <c r="B209" s="29" t="s">
        <v>443</v>
      </c>
      <c r="C209" s="29" t="s">
        <v>118</v>
      </c>
      <c r="D209" s="34">
        <f>M209</f>
        <v>1000</v>
      </c>
      <c r="E209" s="35">
        <v>1</v>
      </c>
      <c r="F209" s="35" t="s">
        <v>50</v>
      </c>
      <c r="G209" s="11">
        <v>1</v>
      </c>
      <c r="I209" s="36"/>
      <c r="J209" s="29"/>
      <c r="K209" s="34"/>
      <c r="L209" s="29" t="s">
        <v>90</v>
      </c>
      <c r="M209" s="34">
        <v>1000</v>
      </c>
      <c r="N209" s="29" t="s">
        <v>91</v>
      </c>
      <c r="O209" s="34"/>
      <c r="P209" s="29" t="s">
        <v>194</v>
      </c>
      <c r="Q209" s="34">
        <v>5</v>
      </c>
      <c r="R209" s="34" t="s">
        <v>72</v>
      </c>
      <c r="S209" s="34">
        <v>3</v>
      </c>
      <c r="T209" s="29"/>
      <c r="U209" s="34"/>
      <c r="V209" s="34"/>
      <c r="W209" s="34"/>
      <c r="X209" s="34"/>
      <c r="Y209" s="34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5">
        <f t="shared" si="7"/>
        <v>1008</v>
      </c>
      <c r="AW209" s="29"/>
      <c r="AX209" s="29"/>
      <c r="AY209" s="29"/>
      <c r="AZ209" s="29"/>
      <c r="BA209" s="29"/>
      <c r="BB209" s="29"/>
      <c r="BC209" s="29"/>
    </row>
    <row r="210" spans="1:55" ht="12.75" customHeight="1" x14ac:dyDescent="0.4">
      <c r="A210" s="6">
        <v>568</v>
      </c>
      <c r="B210" s="23" t="s">
        <v>444</v>
      </c>
      <c r="C210" s="23" t="s">
        <v>125</v>
      </c>
      <c r="D210" s="6">
        <f>K210+M210+O210+10</f>
        <v>30</v>
      </c>
      <c r="E210" s="24">
        <v>1</v>
      </c>
      <c r="F210" s="24" t="s">
        <v>50</v>
      </c>
      <c r="G210" s="6">
        <v>30</v>
      </c>
      <c r="H210" s="5" t="s">
        <v>126</v>
      </c>
      <c r="I210" s="25">
        <v>0.1</v>
      </c>
      <c r="J210" s="23"/>
      <c r="K210" s="49"/>
      <c r="L210" s="23" t="s">
        <v>445</v>
      </c>
      <c r="M210" s="6">
        <v>10</v>
      </c>
      <c r="N210" s="23" t="s">
        <v>292</v>
      </c>
      <c r="O210" s="6">
        <v>10</v>
      </c>
      <c r="P210" s="6" t="s">
        <v>232</v>
      </c>
      <c r="Q210" s="6">
        <v>5</v>
      </c>
      <c r="R210" s="6" t="s">
        <v>56</v>
      </c>
      <c r="S210" s="6">
        <v>5</v>
      </c>
      <c r="T210" s="6" t="s">
        <v>315</v>
      </c>
      <c r="U210" s="6">
        <v>5</v>
      </c>
      <c r="V210" s="6" t="s">
        <v>319</v>
      </c>
      <c r="W210" s="6">
        <v>5</v>
      </c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>
        <f t="shared" si="7"/>
        <v>40.1</v>
      </c>
      <c r="AW210" s="39"/>
      <c r="AX210" s="39"/>
      <c r="AY210" s="39"/>
      <c r="AZ210"/>
      <c r="BA210"/>
      <c r="BB210"/>
      <c r="BC210"/>
    </row>
    <row r="211" spans="1:55" ht="25.5" customHeight="1" x14ac:dyDescent="0.4">
      <c r="A211" s="26"/>
      <c r="B211" s="15"/>
      <c r="C211" s="15" t="s">
        <v>235</v>
      </c>
      <c r="D211" s="26">
        <v>1000</v>
      </c>
      <c r="E211" s="16">
        <v>1</v>
      </c>
      <c r="F211" s="16"/>
      <c r="G211" s="26">
        <v>1</v>
      </c>
      <c r="I211" s="27"/>
      <c r="J211" s="15"/>
      <c r="K211" s="26"/>
      <c r="L211" s="15" t="s">
        <v>348</v>
      </c>
      <c r="M211" s="26">
        <v>300</v>
      </c>
      <c r="N211" s="15" t="s">
        <v>442</v>
      </c>
      <c r="O211" s="26">
        <v>200</v>
      </c>
      <c r="P211" s="15" t="s">
        <v>144</v>
      </c>
      <c r="Q211" s="26">
        <v>250</v>
      </c>
      <c r="R211" s="26" t="s">
        <v>80</v>
      </c>
      <c r="S211" s="26">
        <v>200</v>
      </c>
      <c r="T211" s="15" t="s">
        <v>337</v>
      </c>
      <c r="U211" s="26">
        <v>150</v>
      </c>
      <c r="V211" s="26"/>
      <c r="W211" s="26"/>
      <c r="X211" s="26"/>
      <c r="Y211" s="26"/>
      <c r="Z211" s="15"/>
      <c r="AA211" s="26"/>
      <c r="AB211" s="26"/>
      <c r="AC211" s="26"/>
      <c r="AD211" s="26"/>
      <c r="AE211" s="26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/>
    </row>
    <row r="212" spans="1:55" ht="25.5" customHeight="1" x14ac:dyDescent="0.4">
      <c r="A212" s="26"/>
      <c r="B212" s="15"/>
      <c r="C212" s="15" t="s">
        <v>235</v>
      </c>
      <c r="D212" s="26">
        <v>2000</v>
      </c>
      <c r="E212" s="16">
        <v>1</v>
      </c>
      <c r="F212" s="16"/>
      <c r="G212" s="26">
        <v>1</v>
      </c>
      <c r="I212" s="27"/>
      <c r="J212" s="15"/>
      <c r="K212" s="26"/>
      <c r="L212" s="15" t="s">
        <v>348</v>
      </c>
      <c r="M212" s="26">
        <v>400</v>
      </c>
      <c r="N212" s="15" t="s">
        <v>442</v>
      </c>
      <c r="O212" s="26">
        <v>300</v>
      </c>
      <c r="P212" s="15" t="s">
        <v>144</v>
      </c>
      <c r="Q212" s="26">
        <v>350</v>
      </c>
      <c r="R212" s="26" t="s">
        <v>80</v>
      </c>
      <c r="S212" s="26">
        <v>400</v>
      </c>
      <c r="T212" s="15" t="s">
        <v>337</v>
      </c>
      <c r="U212" s="26">
        <v>150</v>
      </c>
      <c r="V212" s="26" t="s">
        <v>423</v>
      </c>
      <c r="W212" s="26">
        <v>250</v>
      </c>
      <c r="X212" s="26" t="s">
        <v>112</v>
      </c>
      <c r="Y212" s="26">
        <v>150</v>
      </c>
      <c r="Z212" s="15"/>
      <c r="AA212" s="26"/>
      <c r="AB212" s="26"/>
      <c r="AC212" s="26"/>
      <c r="AD212" s="26"/>
      <c r="AE212" s="26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/>
    </row>
    <row r="213" spans="1:55" ht="25.5" customHeight="1" x14ac:dyDescent="0.4">
      <c r="A213" s="14">
        <v>567</v>
      </c>
      <c r="B213" s="15" t="s">
        <v>446</v>
      </c>
      <c r="C213" s="19" t="s">
        <v>235</v>
      </c>
      <c r="D213" s="19">
        <f>K213+M213+O213+Q213+S213+U213+W213</f>
        <v>1000</v>
      </c>
      <c r="E213" s="40">
        <v>1</v>
      </c>
      <c r="F213" s="40" t="s">
        <v>50</v>
      </c>
      <c r="G213" s="19">
        <v>1</v>
      </c>
      <c r="I213" s="41"/>
      <c r="J213" s="19" t="s">
        <v>348</v>
      </c>
      <c r="K213" s="19">
        <v>200</v>
      </c>
      <c r="L213" s="19" t="s">
        <v>80</v>
      </c>
      <c r="M213" s="19">
        <v>130</v>
      </c>
      <c r="N213" s="19" t="s">
        <v>423</v>
      </c>
      <c r="O213" s="19">
        <v>150</v>
      </c>
      <c r="P213" s="19" t="s">
        <v>144</v>
      </c>
      <c r="Q213" s="19">
        <v>150</v>
      </c>
      <c r="R213" s="19" t="s">
        <v>337</v>
      </c>
      <c r="S213" s="19">
        <v>70</v>
      </c>
      <c r="T213" s="19" t="s">
        <v>447</v>
      </c>
      <c r="U213" s="19">
        <v>150</v>
      </c>
      <c r="V213" s="19" t="s">
        <v>448</v>
      </c>
      <c r="W213" s="19">
        <v>150</v>
      </c>
      <c r="X213" s="19" t="s">
        <v>249</v>
      </c>
      <c r="Y213" s="19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>
        <f t="shared" ref="AV213:AV223" si="8">SUM(I213,K213,M213,O213,Q213,S213,U213,W213,Y213,AA213,AC213,AE213,AG213,AI213,AK213,AM213,AO213,AQ213,AS213,AU213)</f>
        <v>1000</v>
      </c>
    </row>
    <row r="214" spans="1:55" ht="12.75" customHeight="1" x14ac:dyDescent="0.4">
      <c r="A214" s="11">
        <v>566</v>
      </c>
      <c r="B214" s="15" t="s">
        <v>449</v>
      </c>
      <c r="C214" s="29" t="s">
        <v>235</v>
      </c>
      <c r="D214" s="29">
        <f>K214+M214+O214+Q214+S214+U214+W214</f>
        <v>2000</v>
      </c>
      <c r="E214" s="74">
        <v>1</v>
      </c>
      <c r="F214" s="74" t="s">
        <v>50</v>
      </c>
      <c r="G214" s="29">
        <v>1</v>
      </c>
      <c r="H214" s="15"/>
      <c r="I214" s="86"/>
      <c r="J214" s="29" t="s">
        <v>348</v>
      </c>
      <c r="K214" s="29">
        <v>400</v>
      </c>
      <c r="L214" s="29" t="s">
        <v>80</v>
      </c>
      <c r="M214" s="29">
        <v>300</v>
      </c>
      <c r="N214" s="29" t="s">
        <v>423</v>
      </c>
      <c r="O214" s="29">
        <v>250</v>
      </c>
      <c r="P214" s="29" t="s">
        <v>144</v>
      </c>
      <c r="Q214" s="29">
        <v>300</v>
      </c>
      <c r="R214" s="29" t="s">
        <v>337</v>
      </c>
      <c r="S214" s="29">
        <v>150</v>
      </c>
      <c r="T214" s="29" t="s">
        <v>447</v>
      </c>
      <c r="U214" s="29">
        <v>300</v>
      </c>
      <c r="V214" s="29" t="s">
        <v>448</v>
      </c>
      <c r="W214" s="29">
        <v>300</v>
      </c>
      <c r="X214" s="29" t="s">
        <v>249</v>
      </c>
      <c r="Y214" s="29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5">
        <f t="shared" si="8"/>
        <v>2000</v>
      </c>
    </row>
    <row r="215" spans="1:55" ht="25.5" customHeight="1" x14ac:dyDescent="0.4">
      <c r="A215" s="6">
        <v>565</v>
      </c>
      <c r="B215" s="7" t="s">
        <v>450</v>
      </c>
      <c r="C215" s="7" t="s">
        <v>451</v>
      </c>
      <c r="D215" s="8"/>
      <c r="E215" s="9">
        <v>1</v>
      </c>
      <c r="F215" s="9" t="s">
        <v>50</v>
      </c>
      <c r="G215" s="8"/>
      <c r="I215" s="10"/>
      <c r="J215" s="7"/>
      <c r="K215" s="8"/>
      <c r="L215" s="7"/>
      <c r="M215" s="8"/>
      <c r="N215" s="7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>
        <f t="shared" si="8"/>
        <v>0</v>
      </c>
    </row>
    <row r="216" spans="1:55" ht="25.5" customHeight="1" x14ac:dyDescent="0.4">
      <c r="A216" s="11">
        <v>564</v>
      </c>
      <c r="B216" s="1" t="s">
        <v>452</v>
      </c>
      <c r="C216" s="1" t="s">
        <v>125</v>
      </c>
      <c r="D216" s="11">
        <f>K216+M216+O216+10</f>
        <v>34</v>
      </c>
      <c r="E216" s="12">
        <v>1</v>
      </c>
      <c r="F216" s="12" t="s">
        <v>50</v>
      </c>
      <c r="G216" s="11">
        <v>30</v>
      </c>
      <c r="H216" s="5" t="s">
        <v>126</v>
      </c>
      <c r="I216" s="13">
        <v>0.1</v>
      </c>
      <c r="J216" s="1" t="s">
        <v>52</v>
      </c>
      <c r="K216" s="11">
        <v>10</v>
      </c>
      <c r="L216" s="1" t="s">
        <v>111</v>
      </c>
      <c r="M216" s="11">
        <v>8</v>
      </c>
      <c r="N216" s="1" t="s">
        <v>112</v>
      </c>
      <c r="O216" s="11">
        <v>6</v>
      </c>
      <c r="P216" s="11" t="s">
        <v>66</v>
      </c>
      <c r="Q216" s="11">
        <v>5</v>
      </c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5">
        <f t="shared" si="8"/>
        <v>29.1</v>
      </c>
    </row>
    <row r="217" spans="1:55" ht="25.5" customHeight="1" x14ac:dyDescent="0.4">
      <c r="A217" s="23">
        <v>563</v>
      </c>
      <c r="B217" s="23" t="s">
        <v>453</v>
      </c>
      <c r="C217" s="23" t="s">
        <v>125</v>
      </c>
      <c r="D217" s="6">
        <f>K217+M217+O217+10</f>
        <v>36</v>
      </c>
      <c r="E217" s="24">
        <v>1</v>
      </c>
      <c r="F217" s="24" t="s">
        <v>50</v>
      </c>
      <c r="G217" s="6">
        <v>30</v>
      </c>
      <c r="H217" s="5" t="s">
        <v>126</v>
      </c>
      <c r="I217" s="25">
        <v>0.1</v>
      </c>
      <c r="J217" s="23" t="s">
        <v>52</v>
      </c>
      <c r="K217" s="6">
        <v>20</v>
      </c>
      <c r="L217" s="23" t="s">
        <v>264</v>
      </c>
      <c r="M217" s="6">
        <v>3</v>
      </c>
      <c r="N217" s="23" t="s">
        <v>266</v>
      </c>
      <c r="O217" s="6">
        <v>3</v>
      </c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>
        <f t="shared" si="8"/>
        <v>26.1</v>
      </c>
      <c r="AW217" s="1"/>
      <c r="AX217" s="1"/>
      <c r="AY217" s="1"/>
      <c r="AZ217" s="1"/>
      <c r="BA217" s="1"/>
      <c r="BB217" s="1"/>
      <c r="BC217" s="1"/>
    </row>
    <row r="218" spans="1:55" ht="25.5" customHeight="1" x14ac:dyDescent="0.4">
      <c r="A218" s="11">
        <v>562</v>
      </c>
      <c r="B218" s="1" t="s">
        <v>454</v>
      </c>
      <c r="C218" s="1" t="s">
        <v>125</v>
      </c>
      <c r="D218" s="11">
        <f>K218+M218+O218+10</f>
        <v>30</v>
      </c>
      <c r="E218" s="12">
        <v>1</v>
      </c>
      <c r="F218" s="12" t="s">
        <v>50</v>
      </c>
      <c r="G218" s="11">
        <v>30</v>
      </c>
      <c r="H218" s="5" t="s">
        <v>126</v>
      </c>
      <c r="I218" s="13">
        <v>0.1</v>
      </c>
      <c r="J218" s="1"/>
      <c r="K218" s="11"/>
      <c r="L218" s="1" t="s">
        <v>55</v>
      </c>
      <c r="M218" s="11">
        <v>20</v>
      </c>
      <c r="N218" s="1" t="s">
        <v>173</v>
      </c>
      <c r="O218" s="11"/>
      <c r="P218" s="11" t="s">
        <v>172</v>
      </c>
      <c r="Q218" s="11">
        <v>5</v>
      </c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5">
        <f t="shared" si="8"/>
        <v>25.1</v>
      </c>
    </row>
    <row r="219" spans="1:55" ht="12.75" customHeight="1" x14ac:dyDescent="0.4">
      <c r="A219" s="11">
        <v>561</v>
      </c>
      <c r="B219" s="1" t="s">
        <v>455</v>
      </c>
      <c r="C219" s="1" t="s">
        <v>125</v>
      </c>
      <c r="D219" s="11">
        <f>K219+M219+O219+10</f>
        <v>33</v>
      </c>
      <c r="E219" s="12">
        <v>1</v>
      </c>
      <c r="F219" s="12" t="s">
        <v>50</v>
      </c>
      <c r="G219" s="11">
        <v>30</v>
      </c>
      <c r="H219" s="5" t="s">
        <v>126</v>
      </c>
      <c r="I219" s="13">
        <v>0.1</v>
      </c>
      <c r="J219" s="1"/>
      <c r="K219" s="11"/>
      <c r="L219" s="1" t="s">
        <v>74</v>
      </c>
      <c r="M219" s="11">
        <v>20</v>
      </c>
      <c r="N219" s="1" t="s">
        <v>207</v>
      </c>
      <c r="O219" s="11">
        <v>3</v>
      </c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5">
        <f t="shared" si="8"/>
        <v>23.1</v>
      </c>
    </row>
    <row r="220" spans="1:55" ht="12.75" customHeight="1" x14ac:dyDescent="0.4">
      <c r="A220" s="11">
        <v>560</v>
      </c>
      <c r="B220" s="29" t="s">
        <v>456</v>
      </c>
      <c r="C220" s="29" t="s">
        <v>451</v>
      </c>
      <c r="D220" s="34"/>
      <c r="E220" s="35">
        <v>1</v>
      </c>
      <c r="F220" s="35" t="s">
        <v>50</v>
      </c>
      <c r="G220" s="34"/>
      <c r="I220" s="36"/>
      <c r="J220" s="29"/>
      <c r="K220" s="34"/>
      <c r="L220" s="29"/>
      <c r="M220" s="34"/>
      <c r="N220" s="29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5">
        <f t="shared" si="8"/>
        <v>0</v>
      </c>
    </row>
    <row r="221" spans="1:55" ht="12.75" customHeight="1" x14ac:dyDescent="0.4">
      <c r="A221" s="11">
        <v>559</v>
      </c>
      <c r="B221" s="1" t="s">
        <v>457</v>
      </c>
      <c r="C221" s="1" t="s">
        <v>59</v>
      </c>
      <c r="D221" s="11">
        <v>1</v>
      </c>
      <c r="E221" s="12">
        <v>1</v>
      </c>
      <c r="F221" s="12" t="s">
        <v>50</v>
      </c>
      <c r="G221" s="11"/>
      <c r="H221" s="1" t="s">
        <v>457</v>
      </c>
      <c r="I221" s="13">
        <v>1</v>
      </c>
      <c r="J221" s="1"/>
      <c r="K221" s="11"/>
      <c r="M221" s="11"/>
      <c r="N221" s="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5">
        <f t="shared" si="8"/>
        <v>1</v>
      </c>
    </row>
    <row r="222" spans="1:55" ht="25.5" customHeight="1" x14ac:dyDescent="0.4">
      <c r="A222" s="6">
        <v>558</v>
      </c>
      <c r="B222" s="23" t="s">
        <v>458</v>
      </c>
      <c r="C222" s="23" t="s">
        <v>59</v>
      </c>
      <c r="D222" s="6">
        <v>1</v>
      </c>
      <c r="E222" s="24">
        <v>1</v>
      </c>
      <c r="F222" s="24" t="s">
        <v>50</v>
      </c>
      <c r="G222" s="6"/>
      <c r="H222" s="23" t="s">
        <v>458</v>
      </c>
      <c r="I222" s="25">
        <v>1</v>
      </c>
      <c r="J222" s="23"/>
      <c r="K222" s="6"/>
      <c r="M222" s="6"/>
      <c r="N222" s="23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>
        <f t="shared" si="8"/>
        <v>1</v>
      </c>
      <c r="AW222" s="39"/>
      <c r="AX222" s="39"/>
      <c r="AY222" s="39"/>
    </row>
    <row r="223" spans="1:55" ht="12.75" customHeight="1" x14ac:dyDescent="0.4">
      <c r="A223" s="11">
        <v>556</v>
      </c>
      <c r="B223" s="29" t="s">
        <v>459</v>
      </c>
      <c r="C223" s="29" t="s">
        <v>162</v>
      </c>
      <c r="D223" s="34">
        <f>M223+O223+Q223+U223</f>
        <v>125</v>
      </c>
      <c r="E223" s="35">
        <v>1</v>
      </c>
      <c r="F223" s="35" t="s">
        <v>50</v>
      </c>
      <c r="G223" s="29">
        <v>11</v>
      </c>
      <c r="I223" s="36"/>
      <c r="J223" s="29"/>
      <c r="L223" s="29" t="s">
        <v>222</v>
      </c>
      <c r="M223" s="29">
        <v>80</v>
      </c>
      <c r="N223" s="34" t="s">
        <v>460</v>
      </c>
      <c r="O223" s="29">
        <v>5</v>
      </c>
      <c r="P223" s="29" t="s">
        <v>461</v>
      </c>
      <c r="Q223" s="34">
        <v>20</v>
      </c>
      <c r="R223" s="34" t="s">
        <v>306</v>
      </c>
      <c r="S223" s="34">
        <v>15</v>
      </c>
      <c r="T223" s="34" t="s">
        <v>219</v>
      </c>
      <c r="U223" s="34">
        <v>20</v>
      </c>
      <c r="V223" s="34"/>
      <c r="W223" s="34"/>
      <c r="X223" s="34"/>
      <c r="Y223" s="34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5">
        <f t="shared" si="8"/>
        <v>140</v>
      </c>
      <c r="AW223" s="11"/>
      <c r="AX223" s="11"/>
      <c r="AY223" s="11"/>
    </row>
    <row r="224" spans="1:55" ht="25.5" customHeight="1" x14ac:dyDescent="0.4">
      <c r="A224" s="11">
        <v>557</v>
      </c>
      <c r="B224" s="1" t="s">
        <v>462</v>
      </c>
      <c r="C224" s="1" t="s">
        <v>125</v>
      </c>
      <c r="D224" s="11">
        <v>150</v>
      </c>
      <c r="E224" s="12">
        <v>1</v>
      </c>
      <c r="F224" s="12" t="s">
        <v>50</v>
      </c>
      <c r="G224" s="11">
        <v>11</v>
      </c>
      <c r="I224" s="13"/>
      <c r="J224" s="1"/>
      <c r="L224" s="1" t="s">
        <v>463</v>
      </c>
      <c r="M224" s="11">
        <v>15</v>
      </c>
      <c r="N224" s="11" t="s">
        <v>464</v>
      </c>
      <c r="O224" s="11">
        <v>3</v>
      </c>
      <c r="P224" s="1" t="s">
        <v>308</v>
      </c>
      <c r="Q224" s="11">
        <v>30</v>
      </c>
      <c r="R224" s="11" t="s">
        <v>301</v>
      </c>
      <c r="S224" s="11">
        <v>30</v>
      </c>
      <c r="T224" s="11" t="s">
        <v>90</v>
      </c>
      <c r="U224" s="11">
        <v>30</v>
      </c>
      <c r="V224" s="1" t="s">
        <v>120</v>
      </c>
      <c r="W224" s="11">
        <v>20</v>
      </c>
      <c r="X224" s="1" t="s">
        <v>310</v>
      </c>
      <c r="Y224" s="11">
        <v>20</v>
      </c>
      <c r="Z224" s="11" t="s">
        <v>66</v>
      </c>
      <c r="AA224" s="11">
        <v>5</v>
      </c>
      <c r="AB224" s="11" t="s">
        <v>87</v>
      </c>
      <c r="AC224" s="11">
        <v>5</v>
      </c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5" t="e">
        <f>SUM(I224,M224,#REF!,O224,Q224,S224,U224,W224,Y224,AA224,AC224,AE224,AG224,AI224,AK224,AM224,AO224,AQ224,AS224,AU224)</f>
        <v>#REF!</v>
      </c>
      <c r="AW224" s="11"/>
      <c r="AX224" s="11"/>
      <c r="AY224" s="11"/>
    </row>
    <row r="225" spans="1:55" ht="25.5" customHeight="1" x14ac:dyDescent="0.4">
      <c r="A225" s="34">
        <v>555</v>
      </c>
      <c r="B225" s="1" t="s">
        <v>465</v>
      </c>
      <c r="C225" s="1" t="s">
        <v>125</v>
      </c>
      <c r="D225" s="11">
        <v>150</v>
      </c>
      <c r="E225" s="12">
        <v>1</v>
      </c>
      <c r="F225" s="12" t="s">
        <v>50</v>
      </c>
      <c r="G225" s="11">
        <v>11</v>
      </c>
      <c r="I225" s="13"/>
      <c r="J225" s="1"/>
      <c r="L225" s="1" t="s">
        <v>463</v>
      </c>
      <c r="M225" s="11">
        <v>15</v>
      </c>
      <c r="N225" s="11" t="s">
        <v>464</v>
      </c>
      <c r="O225" s="11">
        <v>3</v>
      </c>
      <c r="P225" s="5" t="s">
        <v>301</v>
      </c>
      <c r="Q225" s="5">
        <v>30</v>
      </c>
      <c r="R225" s="5" t="s">
        <v>423</v>
      </c>
      <c r="S225" s="5">
        <v>30</v>
      </c>
      <c r="T225" s="5" t="s">
        <v>63</v>
      </c>
      <c r="U225" s="5">
        <v>20</v>
      </c>
      <c r="V225" s="5" t="s">
        <v>466</v>
      </c>
      <c r="W225" s="5">
        <v>20</v>
      </c>
      <c r="X225" s="1" t="s">
        <v>90</v>
      </c>
      <c r="Y225" s="5">
        <v>20</v>
      </c>
      <c r="Z225" s="11" t="s">
        <v>87</v>
      </c>
      <c r="AA225" s="5">
        <v>3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5" t="e">
        <f>SUM(I225,M225,#REF!,O225,Q232,S232,U232,W232,Y232,AA232,AC225,AE225,AG225,AI225,AK225,AM225,AO225,AQ225,AS225,AU225)</f>
        <v>#REF!</v>
      </c>
      <c r="AW225" s="34"/>
      <c r="AX225" s="34"/>
      <c r="AY225" s="34"/>
      <c r="AZ225" s="34"/>
      <c r="BA225" s="34"/>
      <c r="BB225" s="34"/>
      <c r="BC225" s="34"/>
    </row>
    <row r="226" spans="1:55" ht="12.75" customHeight="1" x14ac:dyDescent="0.4">
      <c r="A226" s="11">
        <v>554</v>
      </c>
      <c r="B226" s="1" t="s">
        <v>467</v>
      </c>
      <c r="C226" s="1" t="s">
        <v>125</v>
      </c>
      <c r="D226" s="11">
        <v>150</v>
      </c>
      <c r="E226" s="12">
        <v>1</v>
      </c>
      <c r="F226" s="12" t="s">
        <v>50</v>
      </c>
      <c r="G226" s="11">
        <v>11</v>
      </c>
      <c r="I226" s="13"/>
      <c r="J226" s="1"/>
      <c r="L226" s="1" t="s">
        <v>463</v>
      </c>
      <c r="M226" s="11">
        <v>15</v>
      </c>
      <c r="N226" s="11" t="s">
        <v>464</v>
      </c>
      <c r="O226" s="11">
        <v>3</v>
      </c>
      <c r="P226" s="1" t="s">
        <v>301</v>
      </c>
      <c r="Q226" s="11">
        <v>30</v>
      </c>
      <c r="R226" s="11" t="s">
        <v>266</v>
      </c>
      <c r="S226" s="11">
        <v>20</v>
      </c>
      <c r="T226" s="11" t="s">
        <v>466</v>
      </c>
      <c r="U226" s="11">
        <v>30</v>
      </c>
      <c r="V226" s="1" t="s">
        <v>55</v>
      </c>
      <c r="W226" s="11">
        <v>20</v>
      </c>
      <c r="X226" s="1" t="s">
        <v>90</v>
      </c>
      <c r="Y226" s="11">
        <v>15</v>
      </c>
      <c r="Z226" s="11" t="s">
        <v>87</v>
      </c>
      <c r="AA226" s="11">
        <v>3</v>
      </c>
      <c r="AB226" s="11" t="s">
        <v>186</v>
      </c>
      <c r="AC226" s="11">
        <v>3</v>
      </c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5" t="e">
        <f>SUM(I226,M226,#REF!,O226,Q226,S226,U226,W226,Y226,AA226,AC226,AE226,AG226,AI226,AK226,AM226,AO226,AQ226,AS226,AU226)</f>
        <v>#REF!</v>
      </c>
    </row>
    <row r="227" spans="1:55" ht="25.5" customHeight="1" x14ac:dyDescent="0.4">
      <c r="A227" s="11">
        <v>553</v>
      </c>
      <c r="B227" s="1" t="s">
        <v>468</v>
      </c>
      <c r="C227" s="1" t="s">
        <v>125</v>
      </c>
      <c r="D227" s="11">
        <v>150</v>
      </c>
      <c r="E227" s="12">
        <v>1</v>
      </c>
      <c r="F227" s="12" t="s">
        <v>50</v>
      </c>
      <c r="G227" s="11">
        <v>11</v>
      </c>
      <c r="I227" s="13"/>
      <c r="J227" s="1"/>
      <c r="L227" s="1" t="s">
        <v>463</v>
      </c>
      <c r="M227" s="11">
        <v>15</v>
      </c>
      <c r="N227" s="11" t="s">
        <v>464</v>
      </c>
      <c r="O227" s="11">
        <v>3</v>
      </c>
      <c r="P227" s="1" t="s">
        <v>143</v>
      </c>
      <c r="Q227" s="11">
        <v>30</v>
      </c>
      <c r="R227" s="11" t="s">
        <v>310</v>
      </c>
      <c r="S227" s="11">
        <v>20</v>
      </c>
      <c r="T227" s="11" t="s">
        <v>207</v>
      </c>
      <c r="U227" s="11">
        <v>10</v>
      </c>
      <c r="V227" s="1" t="s">
        <v>266</v>
      </c>
      <c r="W227" s="11">
        <v>20</v>
      </c>
      <c r="X227" s="1" t="s">
        <v>87</v>
      </c>
      <c r="Y227" s="11">
        <v>3</v>
      </c>
      <c r="Z227" s="11" t="s">
        <v>469</v>
      </c>
      <c r="AA227" s="11">
        <v>3</v>
      </c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5" t="e">
        <f>SUM(I227,M227,#REF!,O227,Q227,S227,U227,W227,Y227,AA227,AC227,AE227,AG227,AI227,AK227,AM227,AO227,AQ227,AS227,AU227)</f>
        <v>#REF!</v>
      </c>
    </row>
    <row r="228" spans="1:55" ht="25.5" customHeight="1" x14ac:dyDescent="0.4">
      <c r="A228" s="11">
        <v>552</v>
      </c>
      <c r="B228" s="1" t="s">
        <v>470</v>
      </c>
      <c r="C228" s="1" t="s">
        <v>125</v>
      </c>
      <c r="D228" s="11">
        <v>150</v>
      </c>
      <c r="E228" s="12">
        <v>1</v>
      </c>
      <c r="F228" s="12" t="s">
        <v>50</v>
      </c>
      <c r="G228" s="11">
        <v>11</v>
      </c>
      <c r="I228" s="13"/>
      <c r="J228" s="1"/>
      <c r="L228" s="1" t="s">
        <v>463</v>
      </c>
      <c r="M228" s="11">
        <v>15</v>
      </c>
      <c r="N228" s="11" t="s">
        <v>464</v>
      </c>
      <c r="O228" s="11">
        <v>3</v>
      </c>
      <c r="P228" s="1" t="s">
        <v>332</v>
      </c>
      <c r="Q228" s="11">
        <v>30</v>
      </c>
      <c r="R228" s="11" t="s">
        <v>63</v>
      </c>
      <c r="S228" s="11">
        <v>20</v>
      </c>
      <c r="T228" s="11" t="s">
        <v>471</v>
      </c>
      <c r="U228" s="11">
        <v>20</v>
      </c>
      <c r="V228" s="1" t="s">
        <v>466</v>
      </c>
      <c r="W228" s="11">
        <v>20</v>
      </c>
      <c r="X228" s="1" t="s">
        <v>87</v>
      </c>
      <c r="Y228" s="11">
        <v>3</v>
      </c>
      <c r="Z228" s="11" t="s">
        <v>253</v>
      </c>
      <c r="AA228" s="11">
        <v>5</v>
      </c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5" t="e">
        <f>SUM(I228,M228,#REF!,O228,Q228,S228,U228,W228,Y228,AA228,AC228,AE228,AG228,AI228,AK228,AM228,AO228,AQ228,AS228,AU228)</f>
        <v>#REF!</v>
      </c>
    </row>
    <row r="229" spans="1:55" ht="25.5" customHeight="1" x14ac:dyDescent="0.4">
      <c r="A229" s="11">
        <v>551</v>
      </c>
      <c r="B229" s="1" t="s">
        <v>472</v>
      </c>
      <c r="C229" s="1" t="s">
        <v>125</v>
      </c>
      <c r="D229" s="11">
        <v>150</v>
      </c>
      <c r="E229" s="12">
        <v>1</v>
      </c>
      <c r="F229" s="12" t="s">
        <v>50</v>
      </c>
      <c r="G229" s="11">
        <v>11</v>
      </c>
      <c r="I229" s="13"/>
      <c r="J229" s="1"/>
      <c r="L229" s="1" t="s">
        <v>463</v>
      </c>
      <c r="M229" s="11">
        <v>15</v>
      </c>
      <c r="N229" s="11" t="s">
        <v>464</v>
      </c>
      <c r="O229" s="11">
        <v>3</v>
      </c>
      <c r="P229" s="1" t="s">
        <v>473</v>
      </c>
      <c r="Q229" s="11">
        <v>20</v>
      </c>
      <c r="R229" s="11" t="s">
        <v>471</v>
      </c>
      <c r="S229" s="11">
        <v>20</v>
      </c>
      <c r="T229" s="11" t="s">
        <v>266</v>
      </c>
      <c r="U229" s="11">
        <v>10</v>
      </c>
      <c r="V229" s="1" t="s">
        <v>157</v>
      </c>
      <c r="W229" s="11">
        <v>20</v>
      </c>
      <c r="X229" s="1" t="s">
        <v>294</v>
      </c>
      <c r="Y229" s="11">
        <v>10</v>
      </c>
      <c r="Z229" s="11" t="s">
        <v>264</v>
      </c>
      <c r="AA229" s="11">
        <v>2</v>
      </c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5" t="e">
        <f>SUM(I229,M229,#REF!,O229,Q229,S229,U229,W229,Y229,AA229,AC229,AE229,AG229,AI229,AK229,AM229,AO229,AQ229,AS229,AU229)</f>
        <v>#REF!</v>
      </c>
    </row>
    <row r="230" spans="1:55" ht="12.75" customHeight="1" x14ac:dyDescent="0.4">
      <c r="A230" s="34">
        <v>550</v>
      </c>
      <c r="B230" s="1" t="s">
        <v>474</v>
      </c>
      <c r="C230" s="1" t="s">
        <v>125</v>
      </c>
      <c r="D230" s="11">
        <v>150</v>
      </c>
      <c r="E230" s="12">
        <v>1</v>
      </c>
      <c r="F230" s="12" t="s">
        <v>50</v>
      </c>
      <c r="G230" s="11">
        <v>11</v>
      </c>
      <c r="I230" s="13"/>
      <c r="J230" s="1"/>
      <c r="L230" s="1" t="s">
        <v>463</v>
      </c>
      <c r="M230" s="11">
        <v>15</v>
      </c>
      <c r="N230" s="11" t="s">
        <v>464</v>
      </c>
      <c r="O230" s="11">
        <v>3</v>
      </c>
      <c r="P230" s="1" t="s">
        <v>475</v>
      </c>
      <c r="Q230" s="11">
        <v>30</v>
      </c>
      <c r="R230" s="11" t="s">
        <v>268</v>
      </c>
      <c r="S230" s="11">
        <v>30</v>
      </c>
      <c r="T230" s="11" t="s">
        <v>476</v>
      </c>
      <c r="U230" s="11">
        <v>20</v>
      </c>
      <c r="V230" s="1" t="s">
        <v>63</v>
      </c>
      <c r="W230" s="11">
        <v>20</v>
      </c>
      <c r="X230" s="1" t="s">
        <v>90</v>
      </c>
      <c r="Y230" s="11">
        <v>20</v>
      </c>
      <c r="Z230" s="34" t="s">
        <v>87</v>
      </c>
      <c r="AA230" s="34">
        <v>3</v>
      </c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5" t="e">
        <f>SUM(I230,M230,#REF!,O230,Q230,S230,U230,W230,Y230,AA230,AC230,AE230,AG230,AI230,AK230,AM230,AO230,AQ230,AS230,AU230)</f>
        <v>#REF!</v>
      </c>
      <c r="AW230" s="34"/>
      <c r="AX230" s="34"/>
      <c r="AY230" s="34"/>
      <c r="AZ230" s="34"/>
      <c r="BA230" s="34"/>
      <c r="BB230" s="34"/>
      <c r="BC230" s="34"/>
    </row>
    <row r="231" spans="1:55" ht="25.5" customHeight="1" x14ac:dyDescent="0.4">
      <c r="A231" s="11">
        <v>549</v>
      </c>
      <c r="B231" s="1" t="s">
        <v>477</v>
      </c>
      <c r="C231" s="1" t="s">
        <v>125</v>
      </c>
      <c r="D231" s="11">
        <v>150</v>
      </c>
      <c r="E231" s="12">
        <v>1</v>
      </c>
      <c r="F231" s="12" t="s">
        <v>50</v>
      </c>
      <c r="G231" s="11">
        <v>11</v>
      </c>
      <c r="I231" s="13"/>
      <c r="J231" s="1"/>
      <c r="L231" s="1" t="s">
        <v>463</v>
      </c>
      <c r="M231" s="11">
        <v>15</v>
      </c>
      <c r="N231" s="11" t="s">
        <v>464</v>
      </c>
      <c r="O231" s="11">
        <v>3</v>
      </c>
      <c r="P231" s="1" t="s">
        <v>478</v>
      </c>
      <c r="Q231" s="11">
        <v>20</v>
      </c>
      <c r="R231" s="11" t="s">
        <v>63</v>
      </c>
      <c r="S231" s="11">
        <v>30</v>
      </c>
      <c r="T231" s="11" t="s">
        <v>90</v>
      </c>
      <c r="U231" s="11">
        <v>30</v>
      </c>
      <c r="V231" s="1" t="s">
        <v>466</v>
      </c>
      <c r="W231" s="11">
        <v>20</v>
      </c>
      <c r="X231" s="1" t="s">
        <v>87</v>
      </c>
      <c r="Y231" s="11">
        <v>3</v>
      </c>
      <c r="Z231" s="11" t="s">
        <v>123</v>
      </c>
      <c r="AA231" s="11">
        <v>4</v>
      </c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5" t="e">
        <f>SUM(I231,M231,#REF!,O231,Q231,S231,U231,W231,Y231,AA231,AC231,AE231,AG231,AI231,AK231,AM231,AO231,AQ231,AS231,AU231)</f>
        <v>#REF!</v>
      </c>
    </row>
    <row r="232" spans="1:55" ht="25.5" customHeight="1" x14ac:dyDescent="0.4">
      <c r="A232" s="8">
        <v>548</v>
      </c>
      <c r="B232" s="23" t="s">
        <v>479</v>
      </c>
      <c r="C232" s="23" t="s">
        <v>125</v>
      </c>
      <c r="D232" s="6">
        <v>150</v>
      </c>
      <c r="E232" s="24">
        <v>1</v>
      </c>
      <c r="F232" s="24" t="s">
        <v>50</v>
      </c>
      <c r="G232" s="6">
        <v>11</v>
      </c>
      <c r="I232" s="25"/>
      <c r="J232" s="23"/>
      <c r="K232" s="39"/>
      <c r="L232" s="23" t="s">
        <v>463</v>
      </c>
      <c r="M232" s="6">
        <v>15</v>
      </c>
      <c r="N232" s="6" t="s">
        <v>464</v>
      </c>
      <c r="O232" s="6">
        <v>3</v>
      </c>
      <c r="P232" s="23" t="s">
        <v>89</v>
      </c>
      <c r="Q232" s="6">
        <v>20</v>
      </c>
      <c r="R232" s="6" t="s">
        <v>63</v>
      </c>
      <c r="S232" s="6">
        <v>20</v>
      </c>
      <c r="T232" s="6" t="s">
        <v>471</v>
      </c>
      <c r="U232" s="6">
        <v>20</v>
      </c>
      <c r="V232" s="23" t="s">
        <v>480</v>
      </c>
      <c r="W232" s="6">
        <v>10</v>
      </c>
      <c r="X232" s="23" t="s">
        <v>87</v>
      </c>
      <c r="Y232" s="6">
        <v>5</v>
      </c>
      <c r="Z232" s="8" t="s">
        <v>481</v>
      </c>
      <c r="AA232" s="8">
        <v>3</v>
      </c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t="e">
        <f>SUM(I232,M232,#REF!,O232,#REF!,#REF!,#REF!,#REF!,#REF!,#REF!,AC232,AE232,AG232,AI232,AK232,AM232,AO232,AQ232,AS232,AU232)</f>
        <v>#REF!</v>
      </c>
      <c r="AW232" s="8"/>
      <c r="AX232" s="8"/>
      <c r="AY232" s="8"/>
      <c r="AZ232" s="30"/>
      <c r="BA232" s="30"/>
      <c r="BB232" s="30"/>
      <c r="BC232" s="30"/>
    </row>
    <row r="233" spans="1:55" ht="25.5" customHeight="1" x14ac:dyDescent="0.4">
      <c r="A233" s="87"/>
      <c r="B233" s="19" t="s">
        <v>482</v>
      </c>
      <c r="C233" s="19" t="s">
        <v>61</v>
      </c>
      <c r="D233" s="14">
        <f>K233+M233+O233+20</f>
        <v>105</v>
      </c>
      <c r="E233" s="21">
        <v>1</v>
      </c>
      <c r="F233" s="21" t="s">
        <v>50</v>
      </c>
      <c r="G233" s="20">
        <v>9</v>
      </c>
      <c r="H233" s="5" t="s">
        <v>62</v>
      </c>
      <c r="I233" s="22">
        <v>0.1</v>
      </c>
      <c r="J233" s="19" t="s">
        <v>52</v>
      </c>
      <c r="K233" s="20">
        <v>25</v>
      </c>
      <c r="L233" s="19" t="s">
        <v>64</v>
      </c>
      <c r="M233" s="20">
        <v>45</v>
      </c>
      <c r="N233" s="19" t="s">
        <v>253</v>
      </c>
      <c r="O233" s="20">
        <v>15</v>
      </c>
      <c r="P233" s="20" t="s">
        <v>123</v>
      </c>
      <c r="Q233" s="14">
        <v>10</v>
      </c>
      <c r="R233" s="20" t="s">
        <v>264</v>
      </c>
      <c r="S233" s="20">
        <v>10</v>
      </c>
      <c r="T233" s="20" t="s">
        <v>72</v>
      </c>
      <c r="U233" s="20"/>
      <c r="V233" s="20" t="s">
        <v>66</v>
      </c>
      <c r="W233" s="20"/>
      <c r="X233" s="20"/>
      <c r="Y233" s="20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  <c r="AV233">
        <f t="shared" ref="AV233:AV246" si="9">SUM(I233,K233,M233,O233,Q233,S233,U233,W233,Y233,AA233,AC233,AE233,AG233,AI233,AK233,AM233,AO233,AQ233,AS233,AU233)</f>
        <v>105.1</v>
      </c>
      <c r="AW233" s="88"/>
      <c r="AX233" s="33"/>
      <c r="AY233" s="33"/>
      <c r="AZ233" s="33"/>
      <c r="BA233" s="33"/>
      <c r="BB233" s="33"/>
      <c r="BC233" s="33"/>
    </row>
    <row r="234" spans="1:55" ht="25.5" customHeight="1" x14ac:dyDescent="0.4">
      <c r="A234" s="14">
        <v>547</v>
      </c>
      <c r="B234" s="15"/>
      <c r="C234" s="15" t="s">
        <v>118</v>
      </c>
      <c r="D234" s="14">
        <f>M234+O234+Q234+S234</f>
        <v>1000</v>
      </c>
      <c r="E234" s="16">
        <v>1</v>
      </c>
      <c r="F234" s="16" t="s">
        <v>50</v>
      </c>
      <c r="G234" s="14">
        <v>1</v>
      </c>
      <c r="I234" s="17"/>
      <c r="J234" s="15"/>
      <c r="K234" s="14"/>
      <c r="L234" s="15" t="s">
        <v>64</v>
      </c>
      <c r="M234" s="14">
        <v>800</v>
      </c>
      <c r="N234" s="15" t="s">
        <v>253</v>
      </c>
      <c r="O234" s="14">
        <v>100</v>
      </c>
      <c r="P234" s="14" t="s">
        <v>270</v>
      </c>
      <c r="Q234" s="14">
        <v>50</v>
      </c>
      <c r="R234" s="14" t="s">
        <v>128</v>
      </c>
      <c r="S234" s="14">
        <v>50</v>
      </c>
      <c r="T234" s="14" t="s">
        <v>194</v>
      </c>
      <c r="U234" s="14"/>
      <c r="V234" s="14" t="s">
        <v>172</v>
      </c>
      <c r="W234" s="14"/>
      <c r="X234" s="14"/>
      <c r="Y234" s="14"/>
      <c r="Z234" s="14"/>
      <c r="AA234" s="14"/>
      <c r="AB234" s="15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>
        <f t="shared" si="9"/>
        <v>1000</v>
      </c>
      <c r="AW234" s="11"/>
      <c r="AX234" s="11"/>
      <c r="AY234" s="11"/>
      <c r="AZ234" s="11"/>
      <c r="BA234" s="11"/>
      <c r="BB234" s="11"/>
      <c r="BC234" s="11"/>
    </row>
    <row r="235" spans="1:55" ht="25.5" customHeight="1" x14ac:dyDescent="0.4">
      <c r="A235" s="14">
        <v>545</v>
      </c>
      <c r="B235" s="15" t="s">
        <v>483</v>
      </c>
      <c r="C235" s="15" t="s">
        <v>118</v>
      </c>
      <c r="D235" s="14">
        <f>M235+O235+Q235+S235+U235+W235</f>
        <v>1000</v>
      </c>
      <c r="E235" s="16">
        <v>1</v>
      </c>
      <c r="F235" s="16" t="s">
        <v>50</v>
      </c>
      <c r="G235" s="14">
        <v>1</v>
      </c>
      <c r="I235" s="17"/>
      <c r="J235" s="15"/>
      <c r="K235" s="14"/>
      <c r="L235" s="15" t="s">
        <v>64</v>
      </c>
      <c r="M235" s="14">
        <v>800</v>
      </c>
      <c r="N235" s="15" t="s">
        <v>253</v>
      </c>
      <c r="O235" s="14">
        <v>100</v>
      </c>
      <c r="P235" s="14" t="s">
        <v>270</v>
      </c>
      <c r="Q235" s="14">
        <v>50</v>
      </c>
      <c r="R235" s="14" t="s">
        <v>128</v>
      </c>
      <c r="S235" s="14">
        <v>50</v>
      </c>
      <c r="T235" s="14" t="s">
        <v>194</v>
      </c>
      <c r="U235" s="14"/>
      <c r="V235" s="14" t="s">
        <v>172</v>
      </c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>
        <f t="shared" si="9"/>
        <v>1000</v>
      </c>
      <c r="AW235" s="26"/>
      <c r="AX235"/>
      <c r="AY235"/>
      <c r="AZ235"/>
      <c r="BA235"/>
      <c r="BB235"/>
      <c r="BC235"/>
    </row>
    <row r="236" spans="1:55" ht="12.75" customHeight="1" x14ac:dyDescent="0.4">
      <c r="A236" s="34">
        <v>544</v>
      </c>
      <c r="B236" s="1" t="s">
        <v>484</v>
      </c>
      <c r="C236" s="1" t="s">
        <v>118</v>
      </c>
      <c r="D236" s="11">
        <f>M236+O236+Q236+S236</f>
        <v>80</v>
      </c>
      <c r="E236" s="12">
        <v>1</v>
      </c>
      <c r="F236" s="12" t="s">
        <v>50</v>
      </c>
      <c r="G236" s="11">
        <v>11</v>
      </c>
      <c r="I236" s="13"/>
      <c r="J236" s="1"/>
      <c r="K236" s="11"/>
      <c r="L236" s="1" t="s">
        <v>64</v>
      </c>
      <c r="M236" s="11">
        <v>64</v>
      </c>
      <c r="N236" s="1" t="s">
        <v>253</v>
      </c>
      <c r="O236" s="11">
        <v>8</v>
      </c>
      <c r="P236" s="11" t="s">
        <v>270</v>
      </c>
      <c r="Q236" s="11">
        <v>4</v>
      </c>
      <c r="R236" s="11" t="s">
        <v>128</v>
      </c>
      <c r="S236" s="11">
        <v>4</v>
      </c>
      <c r="T236" s="11" t="s">
        <v>194</v>
      </c>
      <c r="U236" s="11"/>
      <c r="V236" s="11"/>
      <c r="W236" s="11"/>
      <c r="X236" s="11"/>
      <c r="Y236" s="11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5">
        <f t="shared" si="9"/>
        <v>80</v>
      </c>
      <c r="AW236" s="34"/>
      <c r="AX236" s="34"/>
      <c r="AY236" s="34"/>
      <c r="AZ236" s="34"/>
      <c r="BA236" s="34"/>
      <c r="BB236" s="34"/>
      <c r="BC236" s="34"/>
    </row>
    <row r="237" spans="1:55" ht="12.75" customHeight="1" x14ac:dyDescent="0.4">
      <c r="A237" s="34">
        <v>543</v>
      </c>
      <c r="B237" s="1" t="s">
        <v>485</v>
      </c>
      <c r="C237" s="1" t="s">
        <v>59</v>
      </c>
      <c r="D237" s="11">
        <v>1</v>
      </c>
      <c r="E237" s="12">
        <v>1</v>
      </c>
      <c r="F237" s="12" t="s">
        <v>50</v>
      </c>
      <c r="G237" s="11"/>
      <c r="H237" s="1" t="s">
        <v>485</v>
      </c>
      <c r="I237" s="13">
        <v>1</v>
      </c>
      <c r="J237" s="1"/>
      <c r="K237" s="11"/>
      <c r="M237" s="11"/>
      <c r="N237" s="1"/>
      <c r="O237" s="11"/>
      <c r="P237" s="1"/>
      <c r="Q237" s="11"/>
      <c r="R237" s="11"/>
      <c r="S237" s="11"/>
      <c r="T237" s="1"/>
      <c r="U237" s="11"/>
      <c r="V237" s="11"/>
      <c r="W237" s="11"/>
      <c r="X237" s="11"/>
      <c r="Y237" s="11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5">
        <f t="shared" si="9"/>
        <v>1</v>
      </c>
      <c r="AW237" s="34"/>
      <c r="AX237" s="34"/>
    </row>
    <row r="238" spans="1:55" ht="12.75" customHeight="1" x14ac:dyDescent="0.4">
      <c r="A238" s="34">
        <v>542</v>
      </c>
      <c r="B238" s="1" t="s">
        <v>486</v>
      </c>
      <c r="C238" s="1" t="s">
        <v>59</v>
      </c>
      <c r="D238" s="11">
        <v>1</v>
      </c>
      <c r="E238" s="12">
        <v>1</v>
      </c>
      <c r="F238" s="12" t="s">
        <v>50</v>
      </c>
      <c r="G238" s="11"/>
      <c r="H238" s="1" t="s">
        <v>486</v>
      </c>
      <c r="I238" s="13">
        <v>1</v>
      </c>
      <c r="J238" s="1"/>
      <c r="K238" s="11"/>
      <c r="M238" s="11"/>
      <c r="N238" s="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5">
        <f t="shared" si="9"/>
        <v>1</v>
      </c>
      <c r="AW238" s="34"/>
      <c r="AX238" s="34"/>
      <c r="AY238" s="34"/>
      <c r="AZ238" s="34"/>
      <c r="BA238" s="34"/>
      <c r="BB238" s="34"/>
      <c r="BC238" s="34"/>
    </row>
    <row r="239" spans="1:55" ht="25.5" customHeight="1" x14ac:dyDescent="0.4">
      <c r="A239" s="6">
        <v>537</v>
      </c>
      <c r="B239" s="23" t="s">
        <v>487</v>
      </c>
      <c r="C239" s="23" t="s">
        <v>59</v>
      </c>
      <c r="D239" s="6">
        <v>1</v>
      </c>
      <c r="E239" s="24">
        <v>1</v>
      </c>
      <c r="F239" s="24" t="s">
        <v>50</v>
      </c>
      <c r="G239" s="6"/>
      <c r="H239" s="23" t="s">
        <v>487</v>
      </c>
      <c r="I239" s="25">
        <v>1</v>
      </c>
      <c r="J239" s="23"/>
      <c r="K239" s="6"/>
      <c r="M239" s="6"/>
      <c r="N239" s="23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>
        <f t="shared" si="9"/>
        <v>1</v>
      </c>
    </row>
    <row r="240" spans="1:55" ht="25.5" customHeight="1" x14ac:dyDescent="0.4">
      <c r="A240" s="14">
        <v>536</v>
      </c>
      <c r="B240" s="19" t="s">
        <v>488</v>
      </c>
      <c r="C240" s="19" t="s">
        <v>61</v>
      </c>
      <c r="D240" s="14">
        <f>K240+M240+O240+20</f>
        <v>75</v>
      </c>
      <c r="E240" s="21">
        <v>1</v>
      </c>
      <c r="F240" s="21" t="s">
        <v>50</v>
      </c>
      <c r="G240" s="20">
        <v>9</v>
      </c>
      <c r="H240" s="5" t="s">
        <v>62</v>
      </c>
      <c r="I240" s="22">
        <v>0.1</v>
      </c>
      <c r="J240" s="19" t="s">
        <v>52</v>
      </c>
      <c r="K240" s="20">
        <v>20</v>
      </c>
      <c r="L240" s="19" t="s">
        <v>53</v>
      </c>
      <c r="M240" s="20">
        <v>30</v>
      </c>
      <c r="N240" s="19" t="s">
        <v>86</v>
      </c>
      <c r="O240" s="20">
        <v>5</v>
      </c>
      <c r="P240" s="20" t="s">
        <v>489</v>
      </c>
      <c r="Q240" s="20">
        <v>5</v>
      </c>
      <c r="R240" s="20" t="s">
        <v>87</v>
      </c>
      <c r="S240" s="20">
        <v>5</v>
      </c>
      <c r="T240" s="20" t="s">
        <v>66</v>
      </c>
      <c r="U240" s="20">
        <v>5</v>
      </c>
      <c r="V240" s="20" t="s">
        <v>72</v>
      </c>
      <c r="W240" s="20">
        <v>5</v>
      </c>
      <c r="X240" s="20"/>
      <c r="Y240" s="20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>
        <f t="shared" si="9"/>
        <v>75.099999999999994</v>
      </c>
    </row>
    <row r="241" spans="1:55" ht="25.5" customHeight="1" x14ac:dyDescent="0.4">
      <c r="A241" s="14">
        <v>535</v>
      </c>
      <c r="B241" s="15" t="s">
        <v>490</v>
      </c>
      <c r="C241" s="15" t="s">
        <v>49</v>
      </c>
      <c r="D241" s="14">
        <f>K241+M241+O241+Q241</f>
        <v>30</v>
      </c>
      <c r="E241" s="16">
        <v>1</v>
      </c>
      <c r="F241" s="16" t="s">
        <v>50</v>
      </c>
      <c r="G241" s="14">
        <v>24</v>
      </c>
      <c r="H241" s="5" t="s">
        <v>51</v>
      </c>
      <c r="I241" s="17">
        <v>0.1</v>
      </c>
      <c r="J241" s="15" t="s">
        <v>52</v>
      </c>
      <c r="K241" s="14">
        <v>5</v>
      </c>
      <c r="L241" s="15" t="s">
        <v>53</v>
      </c>
      <c r="M241" s="14">
        <v>12</v>
      </c>
      <c r="N241" s="15" t="s">
        <v>84</v>
      </c>
      <c r="O241" s="14">
        <v>10</v>
      </c>
      <c r="P241" s="15" t="s">
        <v>491</v>
      </c>
      <c r="Q241" s="14">
        <v>3</v>
      </c>
      <c r="R241" s="14" t="s">
        <v>72</v>
      </c>
      <c r="S241" s="14">
        <v>3</v>
      </c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>
        <f t="shared" si="9"/>
        <v>33.1</v>
      </c>
    </row>
    <row r="242" spans="1:55" ht="25.5" customHeight="1" x14ac:dyDescent="0.4">
      <c r="A242" s="14">
        <v>534</v>
      </c>
      <c r="B242" s="15" t="s">
        <v>492</v>
      </c>
      <c r="C242" s="15" t="s">
        <v>125</v>
      </c>
      <c r="D242" s="14">
        <f>K242+M242+O242+10</f>
        <v>25</v>
      </c>
      <c r="E242" s="16">
        <v>1</v>
      </c>
      <c r="F242" s="16" t="s">
        <v>50</v>
      </c>
      <c r="G242" s="14">
        <v>30</v>
      </c>
      <c r="H242" s="5" t="s">
        <v>126</v>
      </c>
      <c r="I242" s="17">
        <v>0.1</v>
      </c>
      <c r="J242" s="15"/>
      <c r="K242" s="14"/>
      <c r="L242" s="15" t="s">
        <v>491</v>
      </c>
      <c r="M242" s="14">
        <v>5</v>
      </c>
      <c r="N242" s="15" t="s">
        <v>53</v>
      </c>
      <c r="O242" s="14">
        <v>10</v>
      </c>
      <c r="P242" s="14" t="s">
        <v>294</v>
      </c>
      <c r="Q242" s="14">
        <v>10</v>
      </c>
      <c r="R242" s="14" t="s">
        <v>56</v>
      </c>
      <c r="S242" s="14">
        <v>5</v>
      </c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>
        <f t="shared" si="9"/>
        <v>30.1</v>
      </c>
    </row>
    <row r="243" spans="1:55" ht="12.75" customHeight="1" x14ac:dyDescent="0.4">
      <c r="A243" s="14">
        <v>533</v>
      </c>
      <c r="B243" s="19" t="s">
        <v>493</v>
      </c>
      <c r="C243" s="15" t="s">
        <v>118</v>
      </c>
      <c r="D243" s="14">
        <f>M243+O243+Q243+S243+U243+W243</f>
        <v>80</v>
      </c>
      <c r="E243" s="16">
        <v>1</v>
      </c>
      <c r="F243" s="16" t="s">
        <v>50</v>
      </c>
      <c r="G243" s="14">
        <v>11</v>
      </c>
      <c r="I243" s="17"/>
      <c r="J243" s="15"/>
      <c r="K243" s="14"/>
      <c r="L243" s="15" t="s">
        <v>90</v>
      </c>
      <c r="M243" s="14">
        <v>20</v>
      </c>
      <c r="N243" s="15" t="s">
        <v>55</v>
      </c>
      <c r="O243" s="14">
        <v>16</v>
      </c>
      <c r="P243" s="15" t="s">
        <v>64</v>
      </c>
      <c r="Q243" s="14">
        <v>20</v>
      </c>
      <c r="R243" s="14" t="s">
        <v>292</v>
      </c>
      <c r="S243" s="14">
        <v>8</v>
      </c>
      <c r="T243" s="15" t="s">
        <v>253</v>
      </c>
      <c r="U243" s="14">
        <v>4</v>
      </c>
      <c r="V243" s="14" t="s">
        <v>108</v>
      </c>
      <c r="W243" s="14">
        <v>12</v>
      </c>
      <c r="X243" s="14" t="s">
        <v>494</v>
      </c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>
        <f t="shared" si="9"/>
        <v>80</v>
      </c>
    </row>
    <row r="244" spans="1:55" ht="12.75" customHeight="1" x14ac:dyDescent="0.4">
      <c r="A244" s="14">
        <v>527</v>
      </c>
      <c r="B244" s="19"/>
      <c r="C244" s="15" t="s">
        <v>118</v>
      </c>
      <c r="D244" s="14">
        <f>M244+O244+Q244+S244+U244+W244</f>
        <v>1000</v>
      </c>
      <c r="E244" s="16">
        <v>1</v>
      </c>
      <c r="F244" s="16" t="s">
        <v>50</v>
      </c>
      <c r="G244" s="14">
        <v>1</v>
      </c>
      <c r="I244" s="17"/>
      <c r="J244" s="15"/>
      <c r="K244" s="14"/>
      <c r="L244" s="15" t="s">
        <v>90</v>
      </c>
      <c r="M244" s="14">
        <v>250</v>
      </c>
      <c r="N244" s="15" t="s">
        <v>55</v>
      </c>
      <c r="O244" s="14">
        <v>200</v>
      </c>
      <c r="P244" s="15" t="s">
        <v>64</v>
      </c>
      <c r="Q244" s="14">
        <v>250</v>
      </c>
      <c r="R244" s="14" t="s">
        <v>292</v>
      </c>
      <c r="S244" s="14">
        <v>100</v>
      </c>
      <c r="T244" s="15" t="s">
        <v>253</v>
      </c>
      <c r="U244" s="14">
        <v>50</v>
      </c>
      <c r="V244" s="14" t="s">
        <v>108</v>
      </c>
      <c r="W244" s="14">
        <v>150</v>
      </c>
      <c r="X244" s="14" t="s">
        <v>494</v>
      </c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>
        <f t="shared" si="9"/>
        <v>1000</v>
      </c>
    </row>
    <row r="245" spans="1:55" ht="25.5" customHeight="1" x14ac:dyDescent="0.4">
      <c r="A245" s="14">
        <v>526</v>
      </c>
      <c r="B245" s="19" t="s">
        <v>495</v>
      </c>
      <c r="C245" s="15" t="s">
        <v>118</v>
      </c>
      <c r="D245" s="14">
        <f>M245+O245+Q245+S245+U245+W245</f>
        <v>1000</v>
      </c>
      <c r="E245" s="16">
        <v>1</v>
      </c>
      <c r="F245" s="16" t="s">
        <v>50</v>
      </c>
      <c r="G245" s="14">
        <v>1</v>
      </c>
      <c r="I245" s="17"/>
      <c r="J245" s="15"/>
      <c r="K245" s="14"/>
      <c r="L245" s="15" t="s">
        <v>90</v>
      </c>
      <c r="M245" s="14">
        <v>250</v>
      </c>
      <c r="N245" s="15" t="s">
        <v>55</v>
      </c>
      <c r="O245" s="14">
        <v>200</v>
      </c>
      <c r="P245" s="15" t="s">
        <v>64</v>
      </c>
      <c r="Q245" s="14">
        <v>250</v>
      </c>
      <c r="R245" s="14" t="s">
        <v>292</v>
      </c>
      <c r="S245" s="14">
        <v>100</v>
      </c>
      <c r="T245" s="15" t="s">
        <v>253</v>
      </c>
      <c r="U245" s="14">
        <v>50</v>
      </c>
      <c r="V245" s="14" t="s">
        <v>108</v>
      </c>
      <c r="W245" s="14">
        <v>150</v>
      </c>
      <c r="X245" s="14" t="s">
        <v>494</v>
      </c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>
        <f t="shared" si="9"/>
        <v>1000</v>
      </c>
    </row>
    <row r="246" spans="1:55" ht="25.5" customHeight="1" x14ac:dyDescent="0.4">
      <c r="A246" s="14">
        <v>525</v>
      </c>
      <c r="B246" s="19" t="s">
        <v>496</v>
      </c>
      <c r="C246" s="15" t="s">
        <v>125</v>
      </c>
      <c r="D246" s="14">
        <f>K246+M246+Q246+O246+10</f>
        <v>31</v>
      </c>
      <c r="E246" s="31">
        <v>1</v>
      </c>
      <c r="F246" s="31" t="s">
        <v>50</v>
      </c>
      <c r="G246" s="15">
        <v>30</v>
      </c>
      <c r="H246" s="5" t="s">
        <v>126</v>
      </c>
      <c r="I246" s="32">
        <v>0.1</v>
      </c>
      <c r="J246" s="15"/>
      <c r="K246" s="15"/>
      <c r="L246" s="15" t="s">
        <v>268</v>
      </c>
      <c r="M246" s="15">
        <v>15</v>
      </c>
      <c r="N246" s="15" t="s">
        <v>123</v>
      </c>
      <c r="O246" s="15">
        <v>3</v>
      </c>
      <c r="P246" s="15" t="s">
        <v>227</v>
      </c>
      <c r="Q246" s="15">
        <v>3</v>
      </c>
      <c r="R246" s="15" t="s">
        <v>497</v>
      </c>
      <c r="S246" s="15">
        <v>10</v>
      </c>
      <c r="T246" s="15" t="s">
        <v>56</v>
      </c>
      <c r="U246" s="15"/>
      <c r="V246" s="15"/>
      <c r="W246" s="15"/>
      <c r="X246" s="15"/>
      <c r="Y246" s="15"/>
      <c r="Z246" s="11"/>
      <c r="AA246" s="11"/>
      <c r="AB246" s="11"/>
      <c r="AC246" s="11"/>
      <c r="AD246" s="11"/>
      <c r="AE246" s="11"/>
      <c r="AF246" s="11"/>
      <c r="AG246" s="11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>
        <f t="shared" si="9"/>
        <v>31.1</v>
      </c>
      <c r="AW246" s="26"/>
      <c r="AX246"/>
      <c r="AY246"/>
      <c r="AZ246"/>
      <c r="BA246"/>
      <c r="BB246"/>
      <c r="BC246"/>
    </row>
    <row r="247" spans="1:55" ht="12.75" customHeight="1" x14ac:dyDescent="0.4">
      <c r="A247" s="14">
        <v>523</v>
      </c>
      <c r="B247" s="19" t="s">
        <v>498</v>
      </c>
      <c r="C247" s="19" t="s">
        <v>61</v>
      </c>
      <c r="D247" s="14">
        <f>K247+M247+O247+Q247+S247+W247+20</f>
        <v>115</v>
      </c>
      <c r="E247" s="21">
        <v>1</v>
      </c>
      <c r="F247" s="21" t="s">
        <v>50</v>
      </c>
      <c r="G247" s="20">
        <v>9</v>
      </c>
      <c r="H247" s="5" t="s">
        <v>62</v>
      </c>
      <c r="I247" s="22">
        <v>0.1</v>
      </c>
      <c r="J247" s="19" t="s">
        <v>52</v>
      </c>
      <c r="K247" s="20">
        <v>20</v>
      </c>
      <c r="L247" s="19" t="s">
        <v>236</v>
      </c>
      <c r="M247" s="20">
        <v>20</v>
      </c>
      <c r="N247" s="19" t="s">
        <v>237</v>
      </c>
      <c r="O247" s="20">
        <v>10</v>
      </c>
      <c r="P247" s="20" t="s">
        <v>261</v>
      </c>
      <c r="Q247" s="20">
        <v>30</v>
      </c>
      <c r="R247" s="20" t="s">
        <v>270</v>
      </c>
      <c r="S247" s="20">
        <v>5</v>
      </c>
      <c r="T247" s="20" t="s">
        <v>72</v>
      </c>
      <c r="U247" s="20"/>
      <c r="V247" s="20" t="s">
        <v>100</v>
      </c>
      <c r="W247" s="20">
        <v>10</v>
      </c>
      <c r="X247" s="20"/>
      <c r="Y247" s="20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4"/>
      <c r="AV247">
        <f>SUM(I247,K247,M247,O247,Q247,S247,U247,W247,Y247,AA360,AC360,AE360,AG360,AI247,AK247,AM247,AO247,AQ247,AS247,AU247)</f>
        <v>95.1</v>
      </c>
      <c r="AW247" s="14"/>
      <c r="AX247" s="14"/>
      <c r="AY247" s="14"/>
      <c r="AZ247" s="14"/>
      <c r="BA247" s="14"/>
      <c r="BB247" s="14"/>
      <c r="BC247" s="14"/>
    </row>
    <row r="248" spans="1:55" ht="12.75" customHeight="1" x14ac:dyDescent="0.4">
      <c r="A248" s="14">
        <v>513</v>
      </c>
      <c r="B248" s="19" t="s">
        <v>499</v>
      </c>
      <c r="C248" s="19" t="s">
        <v>118</v>
      </c>
      <c r="D248" s="20">
        <f>M248+O248</f>
        <v>70</v>
      </c>
      <c r="E248" s="21">
        <v>1</v>
      </c>
      <c r="F248" s="21" t="s">
        <v>50</v>
      </c>
      <c r="G248" s="20">
        <v>11</v>
      </c>
      <c r="I248" s="22"/>
      <c r="J248" s="19"/>
      <c r="K248" s="20"/>
      <c r="L248" s="19" t="s">
        <v>192</v>
      </c>
      <c r="M248" s="20">
        <v>50</v>
      </c>
      <c r="N248" s="19" t="s">
        <v>120</v>
      </c>
      <c r="O248" s="20">
        <v>20</v>
      </c>
      <c r="P248" s="20" t="s">
        <v>65</v>
      </c>
      <c r="Q248" s="20">
        <v>5</v>
      </c>
      <c r="R248" s="20" t="s">
        <v>172</v>
      </c>
      <c r="S248" s="20">
        <v>5</v>
      </c>
      <c r="T248" s="20" t="s">
        <v>123</v>
      </c>
      <c r="U248" s="20">
        <v>10</v>
      </c>
      <c r="V248" s="20"/>
      <c r="W248" s="20"/>
      <c r="X248" s="20"/>
      <c r="Y248" s="20"/>
      <c r="AU248" s="14"/>
      <c r="AV248">
        <f>SUM(I248,K248,M248,O248,Q248,S248,U248,W248,Y248,'[1]Mc kinsey'!B16,'[1]Mc kinsey'!D16,'[1]Mc kinsey'!F16,'[1]Mc kinsey'!H16,'[1]Mc kinsey'!J16,'[1]Mc kinsey'!L16,'[1]Mc kinsey'!N16,'[1]Mc kinsey'!P16,'[1]Mc kinsey'!R16,'[1]Mc kinsey'!T16,AU248)</f>
        <v>90</v>
      </c>
      <c r="AW248" s="14"/>
      <c r="AX248" s="14"/>
      <c r="AY248" s="14"/>
      <c r="AZ248" s="14"/>
      <c r="BA248" s="14"/>
      <c r="BB248" s="14"/>
      <c r="BC248" s="14"/>
    </row>
    <row r="249" spans="1:55" ht="25.5" customHeight="1" x14ac:dyDescent="0.4">
      <c r="A249" s="14">
        <v>512</v>
      </c>
      <c r="B249" s="15" t="s">
        <v>500</v>
      </c>
      <c r="C249" s="15" t="s">
        <v>118</v>
      </c>
      <c r="D249" s="14">
        <f>M249+O249+Q249</f>
        <v>80</v>
      </c>
      <c r="E249" s="16">
        <v>1</v>
      </c>
      <c r="F249" s="16" t="s">
        <v>50</v>
      </c>
      <c r="G249" s="14">
        <v>11</v>
      </c>
      <c r="I249" s="17"/>
      <c r="J249" s="15"/>
      <c r="K249" s="14"/>
      <c r="L249" s="15" t="s">
        <v>75</v>
      </c>
      <c r="M249" s="14">
        <v>30</v>
      </c>
      <c r="N249" s="15" t="s">
        <v>64</v>
      </c>
      <c r="O249" s="14">
        <v>40</v>
      </c>
      <c r="P249" s="14" t="s">
        <v>74</v>
      </c>
      <c r="Q249" s="14">
        <v>10</v>
      </c>
      <c r="R249" s="14" t="s">
        <v>76</v>
      </c>
      <c r="S249" s="14">
        <v>5</v>
      </c>
      <c r="T249" s="14" t="s">
        <v>173</v>
      </c>
      <c r="U249" s="14">
        <v>5</v>
      </c>
      <c r="V249" s="14"/>
      <c r="W249" s="14"/>
      <c r="X249" s="14"/>
      <c r="Y249" s="14"/>
      <c r="AU249" s="14"/>
      <c r="AV249">
        <f>SUM(I249,K249,M249,O249,Q249,S249,U249,W249,Y249,'[1]Mc kinsey'!B17,'[1]Mc kinsey'!D17,'[1]Mc kinsey'!F17,'[1]Mc kinsey'!H17,'[1]Mc kinsey'!J17,'[1]Mc kinsey'!L17,'[1]Mc kinsey'!N17,'[1]Mc kinsey'!P17,'[1]Mc kinsey'!R17,'[1]Mc kinsey'!T17,AU249)</f>
        <v>90</v>
      </c>
      <c r="AW249" s="11"/>
      <c r="AX249" s="11"/>
      <c r="AY249" s="11"/>
      <c r="AZ249" s="11"/>
      <c r="BA249" s="11"/>
      <c r="BB249" s="11"/>
      <c r="BC249" s="11"/>
    </row>
    <row r="250" spans="1:55" ht="25.5" customHeight="1" x14ac:dyDescent="0.4">
      <c r="A250" s="11"/>
      <c r="B250" s="1" t="s">
        <v>501</v>
      </c>
      <c r="C250" s="1" t="s">
        <v>118</v>
      </c>
      <c r="D250" s="11">
        <f>K250</f>
        <v>80</v>
      </c>
      <c r="E250" s="12">
        <v>1</v>
      </c>
      <c r="F250" s="12" t="s">
        <v>50</v>
      </c>
      <c r="G250" s="11">
        <v>11</v>
      </c>
      <c r="I250" s="13"/>
      <c r="J250" s="1" t="s">
        <v>105</v>
      </c>
      <c r="K250" s="11">
        <v>80</v>
      </c>
      <c r="L250" s="1" t="s">
        <v>502</v>
      </c>
      <c r="M250" s="11">
        <v>1</v>
      </c>
      <c r="N250" s="1" t="s">
        <v>66</v>
      </c>
      <c r="O250" s="11"/>
      <c r="P250" s="11" t="s">
        <v>255</v>
      </c>
      <c r="Q250" s="11">
        <v>20</v>
      </c>
      <c r="R250" s="11"/>
      <c r="S250" s="11"/>
      <c r="T250" s="11"/>
      <c r="U250" s="11"/>
      <c r="V250" s="11"/>
      <c r="W250" s="11"/>
      <c r="X250" s="11"/>
      <c r="Y250" s="11"/>
      <c r="AU250" s="11"/>
      <c r="AV250" s="5">
        <f>SUM(I250,K250,M250,O250,Q250,S250,U250,W250,Y250,'[1]Mc kinsey'!B18,'[1]Mc kinsey'!D18,'[1]Mc kinsey'!F18,'[1]Mc kinsey'!H18,'[1]Mc kinsey'!J18,'[1]Mc kinsey'!L18,'[1]Mc kinsey'!N18,'[1]Mc kinsey'!P18,'[1]Mc kinsey'!R18,'[1]Mc kinsey'!T18,AU250)</f>
        <v>101</v>
      </c>
    </row>
    <row r="251" spans="1:55" ht="25.5" customHeight="1" x14ac:dyDescent="0.4">
      <c r="A251" s="11"/>
      <c r="B251" s="1" t="s">
        <v>503</v>
      </c>
      <c r="C251" s="1" t="s">
        <v>504</v>
      </c>
      <c r="D251" s="11"/>
      <c r="E251" s="12">
        <v>1</v>
      </c>
      <c r="F251" s="12" t="s">
        <v>50</v>
      </c>
      <c r="G251" s="11">
        <v>1</v>
      </c>
      <c r="I251" s="13"/>
      <c r="J251" s="1"/>
      <c r="K251" s="11"/>
      <c r="L251" s="1"/>
      <c r="M251" s="11"/>
      <c r="N251" s="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AU251" s="11"/>
      <c r="AV251" s="5">
        <f>SUM(I251,K251,M251,O251,Q251,S251,U251,W251,Y251,'[1]Mc kinsey'!B19,'[1]Mc kinsey'!D19,'[1]Mc kinsey'!F19,'[1]Mc kinsey'!H19,'[1]Mc kinsey'!J19,'[1]Mc kinsey'!L19,'[1]Mc kinsey'!N19,'[1]Mc kinsey'!P19,'[1]Mc kinsey'!R19,'[1]Mc kinsey'!T19,AU251)</f>
        <v>0</v>
      </c>
    </row>
    <row r="252" spans="1:55" ht="25.5" customHeight="1" x14ac:dyDescent="0.4">
      <c r="A252" s="11"/>
      <c r="B252" s="1" t="s">
        <v>505</v>
      </c>
      <c r="C252" s="1" t="s">
        <v>504</v>
      </c>
      <c r="D252" s="11"/>
      <c r="E252" s="12">
        <v>1</v>
      </c>
      <c r="F252" s="12" t="s">
        <v>50</v>
      </c>
      <c r="G252" s="11">
        <v>1</v>
      </c>
      <c r="I252" s="13"/>
      <c r="J252" s="1"/>
      <c r="K252" s="11"/>
      <c r="L252" s="1"/>
      <c r="M252" s="11"/>
      <c r="N252" s="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AU252" s="11"/>
      <c r="AV252" s="5">
        <f>SUM(I252,K252,M252,O252,Q252,S252,U252,W252,Y252,'[1]Mc kinsey'!B20,'[1]Mc kinsey'!D20,'[1]Mc kinsey'!F20,'[1]Mc kinsey'!H20,'[1]Mc kinsey'!J20,'[1]Mc kinsey'!L20,'[1]Mc kinsey'!N20,'[1]Mc kinsey'!P20,'[1]Mc kinsey'!R20,'[1]Mc kinsey'!T20,AU252)</f>
        <v>0</v>
      </c>
    </row>
    <row r="253" spans="1:55" ht="25.5" customHeight="1" x14ac:dyDescent="0.4">
      <c r="A253" s="11"/>
      <c r="B253" s="1" t="s">
        <v>506</v>
      </c>
      <c r="C253" s="1" t="s">
        <v>504</v>
      </c>
      <c r="D253" s="11"/>
      <c r="E253" s="12">
        <v>1</v>
      </c>
      <c r="F253" s="12" t="s">
        <v>50</v>
      </c>
      <c r="G253" s="11">
        <v>1</v>
      </c>
      <c r="I253" s="13"/>
      <c r="J253" s="1"/>
      <c r="K253" s="11"/>
      <c r="L253" s="1"/>
      <c r="M253" s="11"/>
      <c r="N253" s="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AU253" s="11"/>
      <c r="AV253" s="5">
        <f>SUM(I253,K253,M253,O253,Q253,S253,U253,W253,Y253,'[1]Mc kinsey'!B21,'[1]Mc kinsey'!D21,'[1]Mc kinsey'!F21,'[1]Mc kinsey'!H21,'[1]Mc kinsey'!J21,'[1]Mc kinsey'!L21,'[1]Mc kinsey'!N21,'[1]Mc kinsey'!P21,'[1]Mc kinsey'!R21,'[1]Mc kinsey'!T21,AU253)</f>
        <v>0</v>
      </c>
    </row>
    <row r="254" spans="1:55" ht="12.75" customHeight="1" x14ac:dyDescent="0.4">
      <c r="A254" s="11"/>
      <c r="B254" s="1" t="s">
        <v>507</v>
      </c>
      <c r="C254" s="1" t="s">
        <v>504</v>
      </c>
      <c r="D254" s="11"/>
      <c r="E254" s="12">
        <v>1</v>
      </c>
      <c r="F254" s="12" t="s">
        <v>50</v>
      </c>
      <c r="G254" s="11">
        <v>1</v>
      </c>
      <c r="I254" s="13"/>
      <c r="J254" s="1"/>
      <c r="K254" s="11"/>
      <c r="L254" s="1"/>
      <c r="M254" s="11"/>
      <c r="N254" s="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AU254" s="11"/>
      <c r="AV254" s="5">
        <f>SUM(I254,K254,M254,O254,Q254,S254,U254,W254,Y254,'[1]Mc kinsey'!B22,'[1]Mc kinsey'!D22,'[1]Mc kinsey'!F22,'[1]Mc kinsey'!H22,'[1]Mc kinsey'!J22,'[1]Mc kinsey'!L22,'[1]Mc kinsey'!N22,'[1]Mc kinsey'!P22,'[1]Mc kinsey'!R22,'[1]Mc kinsey'!T22,AU254)</f>
        <v>0</v>
      </c>
    </row>
    <row r="255" spans="1:55" ht="25.5" customHeight="1" x14ac:dyDescent="0.4">
      <c r="A255" s="11"/>
      <c r="B255" s="1" t="s">
        <v>508</v>
      </c>
      <c r="C255" s="1" t="s">
        <v>509</v>
      </c>
      <c r="D255" s="11"/>
      <c r="E255" s="12">
        <v>1</v>
      </c>
      <c r="F255" s="12" t="s">
        <v>50</v>
      </c>
      <c r="G255" s="11">
        <v>1</v>
      </c>
      <c r="I255" s="13"/>
      <c r="J255" s="1"/>
      <c r="K255" s="11"/>
      <c r="L255" s="1"/>
      <c r="M255" s="11"/>
      <c r="N255" s="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AU255" s="11"/>
      <c r="AV255" s="5">
        <f>SUM(I255,K255,M255,O255,Q255,S255,U255,W255,Y255,'[1]Mc kinsey'!B23,'[1]Mc kinsey'!D23,'[1]Mc kinsey'!F23,'[1]Mc kinsey'!H23,'[1]Mc kinsey'!J23,'[1]Mc kinsey'!L23,'[1]Mc kinsey'!N23,'[1]Mc kinsey'!P23,'[1]Mc kinsey'!R23,'[1]Mc kinsey'!T23,AU255)</f>
        <v>0</v>
      </c>
    </row>
    <row r="256" spans="1:55" ht="12.75" customHeight="1" x14ac:dyDescent="0.4">
      <c r="A256" s="11"/>
      <c r="B256" s="1" t="s">
        <v>510</v>
      </c>
      <c r="C256" s="1" t="s">
        <v>509</v>
      </c>
      <c r="D256" s="11"/>
      <c r="E256" s="12">
        <v>1</v>
      </c>
      <c r="F256" s="12" t="s">
        <v>50</v>
      </c>
      <c r="G256" s="11">
        <v>1</v>
      </c>
      <c r="I256" s="13"/>
      <c r="J256" s="1"/>
      <c r="K256" s="11"/>
      <c r="L256" s="1"/>
      <c r="M256" s="11"/>
      <c r="N256" s="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"/>
      <c r="AC256" s="11"/>
      <c r="AD256" s="11"/>
      <c r="AE256" s="11"/>
      <c r="AF256" s="11"/>
      <c r="AG256" s="11"/>
      <c r="AH256" s="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5">
        <f t="shared" ref="AV256:AV309" si="10">SUM(I256,K256,M256,O256,Q256,S256,U256,W256,Y256,AA256,AC256,AE256,AG256,AI256,AK256,AM256,AO256,AQ256,AS256,AU256)</f>
        <v>0</v>
      </c>
    </row>
    <row r="257" spans="1:48" ht="12.75" customHeight="1" x14ac:dyDescent="0.4">
      <c r="A257" s="11"/>
      <c r="B257" s="1" t="s">
        <v>511</v>
      </c>
      <c r="C257" s="1" t="s">
        <v>509</v>
      </c>
      <c r="D257" s="11"/>
      <c r="E257" s="12">
        <v>1</v>
      </c>
      <c r="F257" s="12" t="s">
        <v>50</v>
      </c>
      <c r="G257" s="11">
        <v>1</v>
      </c>
      <c r="I257" s="13"/>
      <c r="J257" s="1"/>
      <c r="K257" s="11"/>
      <c r="L257" s="1"/>
      <c r="M257" s="11"/>
      <c r="N257" s="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"/>
      <c r="AC257" s="11"/>
      <c r="AD257" s="11"/>
      <c r="AE257" s="11"/>
      <c r="AF257" s="11"/>
      <c r="AG257" s="11"/>
      <c r="AH257" s="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5">
        <f t="shared" si="10"/>
        <v>0</v>
      </c>
    </row>
    <row r="258" spans="1:48" ht="25.5" customHeight="1" x14ac:dyDescent="0.4">
      <c r="A258" s="11"/>
      <c r="B258" s="1" t="s">
        <v>512</v>
      </c>
      <c r="C258" s="1" t="s">
        <v>451</v>
      </c>
      <c r="D258" s="11"/>
      <c r="E258" s="12">
        <v>1</v>
      </c>
      <c r="F258" s="12" t="s">
        <v>50</v>
      </c>
      <c r="G258" s="11">
        <v>1</v>
      </c>
      <c r="I258" s="13"/>
      <c r="J258" s="1"/>
      <c r="K258" s="11"/>
      <c r="L258" s="1"/>
      <c r="M258" s="11"/>
      <c r="N258" s="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"/>
      <c r="AC258" s="11"/>
      <c r="AD258" s="11"/>
      <c r="AE258" s="11"/>
      <c r="AF258" s="11"/>
      <c r="AG258" s="11"/>
      <c r="AH258" s="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5">
        <f t="shared" si="10"/>
        <v>0</v>
      </c>
    </row>
    <row r="259" spans="1:48" ht="25.5" customHeight="1" x14ac:dyDescent="0.4">
      <c r="A259" s="11"/>
      <c r="B259" s="1" t="s">
        <v>513</v>
      </c>
      <c r="C259" s="1" t="s">
        <v>504</v>
      </c>
      <c r="D259" s="11"/>
      <c r="E259" s="12">
        <v>1</v>
      </c>
      <c r="F259" s="12" t="s">
        <v>50</v>
      </c>
      <c r="G259" s="11">
        <v>1</v>
      </c>
      <c r="I259" s="13"/>
      <c r="J259" s="1"/>
      <c r="K259" s="11"/>
      <c r="L259" s="1"/>
      <c r="M259" s="11"/>
      <c r="N259" s="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"/>
      <c r="AC259" s="11"/>
      <c r="AD259" s="11"/>
      <c r="AE259" s="11"/>
      <c r="AF259" s="11"/>
      <c r="AG259" s="11"/>
      <c r="AH259" s="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5">
        <f t="shared" si="10"/>
        <v>0</v>
      </c>
    </row>
    <row r="260" spans="1:48" ht="25.5" customHeight="1" x14ac:dyDescent="0.4">
      <c r="A260" s="11"/>
      <c r="B260" s="1" t="s">
        <v>514</v>
      </c>
      <c r="C260" s="1" t="s">
        <v>504</v>
      </c>
      <c r="D260" s="11"/>
      <c r="E260" s="12">
        <v>1</v>
      </c>
      <c r="F260" s="12" t="s">
        <v>50</v>
      </c>
      <c r="G260" s="11">
        <v>1</v>
      </c>
      <c r="I260" s="13"/>
      <c r="J260" s="1"/>
      <c r="K260" s="11"/>
      <c r="L260" s="1"/>
      <c r="M260" s="11"/>
      <c r="N260" s="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"/>
      <c r="AC260" s="11"/>
      <c r="AD260" s="11"/>
      <c r="AE260" s="11"/>
      <c r="AF260" s="11"/>
      <c r="AG260" s="11"/>
      <c r="AH260" s="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5">
        <f t="shared" si="10"/>
        <v>0</v>
      </c>
    </row>
    <row r="261" spans="1:48" ht="25.5" customHeight="1" x14ac:dyDescent="0.4">
      <c r="A261" s="11"/>
      <c r="B261" s="1" t="s">
        <v>515</v>
      </c>
      <c r="C261" s="1" t="s">
        <v>504</v>
      </c>
      <c r="D261" s="11"/>
      <c r="E261" s="12">
        <v>1</v>
      </c>
      <c r="F261" s="12" t="s">
        <v>50</v>
      </c>
      <c r="G261" s="11">
        <v>1</v>
      </c>
      <c r="I261" s="13"/>
      <c r="J261" s="1"/>
      <c r="K261" s="11"/>
      <c r="L261" s="1"/>
      <c r="M261" s="11"/>
      <c r="N261" s="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"/>
      <c r="AC261" s="11"/>
      <c r="AD261" s="11"/>
      <c r="AE261" s="11"/>
      <c r="AF261" s="11"/>
      <c r="AG261" s="11"/>
      <c r="AH261" s="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5">
        <f t="shared" si="10"/>
        <v>0</v>
      </c>
    </row>
    <row r="262" spans="1:48" ht="12.75" customHeight="1" x14ac:dyDescent="0.4">
      <c r="A262" s="11"/>
      <c r="B262" s="29" t="s">
        <v>516</v>
      </c>
      <c r="C262" s="29" t="s">
        <v>517</v>
      </c>
      <c r="D262" s="34"/>
      <c r="E262" s="35">
        <v>1</v>
      </c>
      <c r="F262" s="35" t="s">
        <v>50</v>
      </c>
      <c r="G262" s="34"/>
      <c r="I262" s="36"/>
      <c r="J262" s="29"/>
      <c r="K262" s="34"/>
      <c r="L262" s="29"/>
      <c r="M262" s="34"/>
      <c r="N262" s="29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11"/>
      <c r="AA262" s="11"/>
      <c r="AB262" s="1"/>
      <c r="AC262" s="11"/>
      <c r="AD262" s="11"/>
      <c r="AE262" s="11"/>
      <c r="AF262" s="11"/>
      <c r="AG262" s="11"/>
      <c r="AH262" s="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5">
        <f t="shared" si="10"/>
        <v>0</v>
      </c>
    </row>
    <row r="263" spans="1:48" ht="12.75" customHeight="1" x14ac:dyDescent="0.4">
      <c r="A263" s="11"/>
      <c r="B263" s="1" t="s">
        <v>518</v>
      </c>
      <c r="C263" s="1" t="s">
        <v>245</v>
      </c>
      <c r="D263" s="11"/>
      <c r="E263" s="12">
        <v>1</v>
      </c>
      <c r="F263" s="12" t="s">
        <v>50</v>
      </c>
      <c r="G263" s="11">
        <v>24</v>
      </c>
      <c r="I263" s="13"/>
      <c r="J263" s="1"/>
      <c r="K263" s="11"/>
      <c r="L263" s="1"/>
      <c r="M263" s="11"/>
      <c r="N263" s="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"/>
      <c r="AC263" s="11"/>
      <c r="AD263" s="11"/>
      <c r="AE263" s="11"/>
      <c r="AF263" s="11"/>
      <c r="AG263" s="11"/>
      <c r="AH263" s="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5">
        <f t="shared" si="10"/>
        <v>0</v>
      </c>
    </row>
    <row r="264" spans="1:48" ht="25.5" customHeight="1" x14ac:dyDescent="0.4">
      <c r="A264" s="11"/>
      <c r="B264" s="1" t="s">
        <v>519</v>
      </c>
      <c r="C264" s="1" t="s">
        <v>245</v>
      </c>
      <c r="D264" s="11"/>
      <c r="E264" s="12">
        <v>1</v>
      </c>
      <c r="F264" s="12" t="s">
        <v>50</v>
      </c>
      <c r="G264" s="11">
        <v>1</v>
      </c>
      <c r="I264" s="13"/>
      <c r="J264" s="1"/>
      <c r="K264" s="11"/>
      <c r="L264" s="1"/>
      <c r="M264" s="11"/>
      <c r="N264" s="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"/>
      <c r="AC264" s="11"/>
      <c r="AD264" s="11"/>
      <c r="AE264" s="11"/>
      <c r="AF264" s="11"/>
      <c r="AG264" s="11"/>
      <c r="AH264" s="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5">
        <f t="shared" si="10"/>
        <v>0</v>
      </c>
    </row>
    <row r="265" spans="1:48" ht="25.5" customHeight="1" x14ac:dyDescent="0.4">
      <c r="A265" s="11"/>
      <c r="B265" s="1" t="s">
        <v>520</v>
      </c>
      <c r="C265" s="1" t="s">
        <v>451</v>
      </c>
      <c r="D265" s="11"/>
      <c r="E265" s="12">
        <v>1</v>
      </c>
      <c r="F265" s="12" t="s">
        <v>50</v>
      </c>
      <c r="G265" s="11">
        <v>1</v>
      </c>
      <c r="I265" s="13"/>
      <c r="J265" s="1"/>
      <c r="K265" s="11"/>
      <c r="L265" s="1"/>
      <c r="M265" s="11"/>
      <c r="N265" s="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"/>
      <c r="AC265" s="11"/>
      <c r="AD265" s="11"/>
      <c r="AE265" s="11"/>
      <c r="AF265" s="11"/>
      <c r="AG265" s="11"/>
      <c r="AH265" s="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5">
        <f t="shared" si="10"/>
        <v>0</v>
      </c>
    </row>
    <row r="266" spans="1:48" ht="25.5" customHeight="1" x14ac:dyDescent="0.4">
      <c r="A266" s="11"/>
      <c r="B266" s="1" t="s">
        <v>521</v>
      </c>
      <c r="C266" s="1" t="s">
        <v>504</v>
      </c>
      <c r="D266" s="11"/>
      <c r="E266" s="12">
        <v>1</v>
      </c>
      <c r="F266" s="12" t="s">
        <v>50</v>
      </c>
      <c r="G266" s="11">
        <v>1</v>
      </c>
      <c r="I266" s="13"/>
      <c r="J266" s="1"/>
      <c r="K266" s="11"/>
      <c r="L266" s="1"/>
      <c r="M266" s="11"/>
      <c r="N266" s="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"/>
      <c r="AC266" s="11"/>
      <c r="AD266" s="11"/>
      <c r="AE266" s="11"/>
      <c r="AF266" s="11"/>
      <c r="AG266" s="11"/>
      <c r="AH266" s="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5">
        <f t="shared" si="10"/>
        <v>0</v>
      </c>
    </row>
    <row r="267" spans="1:48" ht="25.5" customHeight="1" x14ac:dyDescent="0.4">
      <c r="A267" s="11"/>
      <c r="B267" s="1" t="s">
        <v>522</v>
      </c>
      <c r="C267" s="1" t="s">
        <v>504</v>
      </c>
      <c r="D267" s="11"/>
      <c r="E267" s="12">
        <v>1</v>
      </c>
      <c r="F267" s="12" t="s">
        <v>50</v>
      </c>
      <c r="G267" s="11">
        <v>1</v>
      </c>
      <c r="I267" s="13"/>
      <c r="J267" s="1"/>
      <c r="K267" s="11"/>
      <c r="L267" s="1"/>
      <c r="M267" s="11"/>
      <c r="N267" s="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"/>
      <c r="AC267" s="11"/>
      <c r="AD267" s="11"/>
      <c r="AE267" s="11"/>
      <c r="AF267" s="11"/>
      <c r="AG267" s="11"/>
      <c r="AH267" s="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5">
        <f t="shared" si="10"/>
        <v>0</v>
      </c>
    </row>
    <row r="268" spans="1:48" ht="25.5" customHeight="1" x14ac:dyDescent="0.4">
      <c r="A268" s="11"/>
      <c r="B268" s="1" t="s">
        <v>523</v>
      </c>
      <c r="C268" s="1" t="s">
        <v>504</v>
      </c>
      <c r="D268" s="11"/>
      <c r="E268" s="12">
        <v>1</v>
      </c>
      <c r="F268" s="12" t="s">
        <v>50</v>
      </c>
      <c r="G268" s="11">
        <v>1</v>
      </c>
      <c r="I268" s="13"/>
      <c r="J268" s="1"/>
      <c r="K268" s="11"/>
      <c r="L268" s="1"/>
      <c r="M268" s="11"/>
      <c r="N268" s="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"/>
      <c r="AC268" s="11"/>
      <c r="AD268" s="11"/>
      <c r="AE268" s="11"/>
      <c r="AF268" s="11"/>
      <c r="AG268" s="11"/>
      <c r="AH268" s="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5">
        <f t="shared" si="10"/>
        <v>0</v>
      </c>
    </row>
    <row r="269" spans="1:48" ht="12.75" customHeight="1" x14ac:dyDescent="0.4">
      <c r="A269" s="11"/>
      <c r="B269" s="1" t="s">
        <v>524</v>
      </c>
      <c r="C269" s="1" t="s">
        <v>504</v>
      </c>
      <c r="D269" s="11"/>
      <c r="E269" s="12">
        <v>1</v>
      </c>
      <c r="F269" s="12" t="s">
        <v>50</v>
      </c>
      <c r="G269" s="11">
        <v>1</v>
      </c>
      <c r="I269" s="13"/>
      <c r="J269" s="1"/>
      <c r="K269" s="11"/>
      <c r="L269" s="1"/>
      <c r="M269" s="11"/>
      <c r="N269" s="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"/>
      <c r="AC269" s="11"/>
      <c r="AD269" s="11"/>
      <c r="AE269" s="11"/>
      <c r="AF269" s="11"/>
      <c r="AG269" s="11"/>
      <c r="AH269" s="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5">
        <f t="shared" si="10"/>
        <v>0</v>
      </c>
    </row>
    <row r="270" spans="1:48" ht="12.75" customHeight="1" x14ac:dyDescent="0.4">
      <c r="A270" s="11">
        <v>511</v>
      </c>
      <c r="B270" s="71" t="s">
        <v>525</v>
      </c>
      <c r="C270" s="1" t="s">
        <v>509</v>
      </c>
      <c r="E270" s="12">
        <v>1</v>
      </c>
      <c r="F270" s="12" t="s">
        <v>50</v>
      </c>
      <c r="J270" s="1"/>
      <c r="L270" s="1"/>
      <c r="N270" s="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5">
        <f t="shared" si="10"/>
        <v>0</v>
      </c>
    </row>
    <row r="271" spans="1:48" ht="25.5" customHeight="1" x14ac:dyDescent="0.4">
      <c r="A271" s="11">
        <v>510</v>
      </c>
      <c r="B271" s="71" t="s">
        <v>526</v>
      </c>
      <c r="C271" s="1" t="s">
        <v>509</v>
      </c>
      <c r="E271" s="12">
        <v>1</v>
      </c>
      <c r="F271" s="12" t="s">
        <v>50</v>
      </c>
      <c r="J271" s="1"/>
      <c r="L271" s="1"/>
      <c r="N271" s="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5">
        <f t="shared" si="10"/>
        <v>0</v>
      </c>
    </row>
    <row r="272" spans="1:48" ht="12.75" customHeight="1" x14ac:dyDescent="0.4">
      <c r="A272" s="11">
        <v>509</v>
      </c>
      <c r="B272" s="1" t="s">
        <v>527</v>
      </c>
      <c r="C272" s="1" t="s">
        <v>504</v>
      </c>
      <c r="D272" s="11"/>
      <c r="E272" s="12">
        <v>1</v>
      </c>
      <c r="F272" s="12" t="s">
        <v>50</v>
      </c>
      <c r="G272" s="11"/>
      <c r="I272" s="13"/>
      <c r="J272" s="1"/>
      <c r="K272" s="11"/>
      <c r="L272" s="1"/>
      <c r="M272" s="11"/>
      <c r="N272" s="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5">
        <f t="shared" si="10"/>
        <v>0</v>
      </c>
    </row>
    <row r="273" spans="1:55" ht="25.5" customHeight="1" x14ac:dyDescent="0.4">
      <c r="A273" s="11">
        <v>508</v>
      </c>
      <c r="B273" s="1" t="s">
        <v>528</v>
      </c>
      <c r="C273" s="1" t="s">
        <v>451</v>
      </c>
      <c r="D273" s="11"/>
      <c r="E273" s="12">
        <v>1</v>
      </c>
      <c r="F273" s="12" t="s">
        <v>50</v>
      </c>
      <c r="G273" s="11">
        <v>1</v>
      </c>
      <c r="I273" s="13"/>
      <c r="J273" s="1"/>
      <c r="K273" s="11"/>
      <c r="L273" s="1"/>
      <c r="M273" s="11"/>
      <c r="N273" s="1"/>
      <c r="O273" s="11"/>
      <c r="P273" s="1"/>
      <c r="Q273" s="11"/>
      <c r="R273" s="11"/>
      <c r="S273" s="11"/>
      <c r="T273" s="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5">
        <f t="shared" si="10"/>
        <v>0</v>
      </c>
    </row>
    <row r="274" spans="1:55" ht="25.5" customHeight="1" x14ac:dyDescent="0.4">
      <c r="A274" s="11">
        <v>507</v>
      </c>
      <c r="B274" s="1" t="s">
        <v>529</v>
      </c>
      <c r="C274" s="1" t="s">
        <v>504</v>
      </c>
      <c r="D274" s="11"/>
      <c r="E274" s="12">
        <v>1</v>
      </c>
      <c r="F274" s="12" t="s">
        <v>50</v>
      </c>
      <c r="G274" s="11">
        <v>1</v>
      </c>
      <c r="I274" s="13"/>
      <c r="J274" s="1"/>
      <c r="K274" s="11"/>
      <c r="L274" s="1"/>
      <c r="M274" s="11"/>
      <c r="N274" s="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5">
        <f t="shared" si="10"/>
        <v>0</v>
      </c>
    </row>
    <row r="275" spans="1:55" ht="25.5" customHeight="1" x14ac:dyDescent="0.4">
      <c r="A275" s="11">
        <v>505</v>
      </c>
      <c r="B275" s="1" t="s">
        <v>530</v>
      </c>
      <c r="C275" s="1" t="s">
        <v>451</v>
      </c>
      <c r="D275" s="11"/>
      <c r="E275" s="12">
        <v>1</v>
      </c>
      <c r="F275" s="12" t="s">
        <v>50</v>
      </c>
      <c r="G275" s="11">
        <v>1</v>
      </c>
      <c r="I275" s="13"/>
      <c r="J275" s="1"/>
      <c r="K275" s="11"/>
      <c r="L275" s="1"/>
      <c r="M275" s="11"/>
      <c r="N275" s="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5">
        <f t="shared" si="10"/>
        <v>0</v>
      </c>
    </row>
    <row r="276" spans="1:55" ht="12.75" customHeight="1" x14ac:dyDescent="0.4">
      <c r="A276" s="11">
        <v>504</v>
      </c>
      <c r="B276" s="1" t="s">
        <v>531</v>
      </c>
      <c r="C276" s="1" t="s">
        <v>504</v>
      </c>
      <c r="D276" s="11"/>
      <c r="E276" s="12">
        <v>1</v>
      </c>
      <c r="F276" s="12" t="s">
        <v>50</v>
      </c>
      <c r="G276" s="11">
        <v>1</v>
      </c>
      <c r="I276" s="13"/>
      <c r="J276" s="1"/>
      <c r="K276" s="11"/>
      <c r="L276" s="1"/>
      <c r="M276" s="11"/>
      <c r="N276" s="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5">
        <f t="shared" si="10"/>
        <v>0</v>
      </c>
    </row>
    <row r="277" spans="1:55" ht="12.75" customHeight="1" x14ac:dyDescent="0.4">
      <c r="A277" s="11">
        <v>503</v>
      </c>
      <c r="B277" s="1" t="s">
        <v>532</v>
      </c>
      <c r="C277" s="1" t="s">
        <v>451</v>
      </c>
      <c r="D277" s="11"/>
      <c r="E277" s="12">
        <v>1</v>
      </c>
      <c r="F277" s="12" t="s">
        <v>50</v>
      </c>
      <c r="G277" s="11">
        <v>1</v>
      </c>
      <c r="I277" s="13"/>
      <c r="J277" s="1"/>
      <c r="K277" s="11"/>
      <c r="L277" s="1"/>
      <c r="M277" s="11"/>
      <c r="N277" s="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5">
        <f t="shared" si="10"/>
        <v>0</v>
      </c>
    </row>
    <row r="278" spans="1:55" ht="25.5" customHeight="1" x14ac:dyDescent="0.4">
      <c r="A278" s="11">
        <v>502</v>
      </c>
      <c r="B278" s="1" t="s">
        <v>533</v>
      </c>
      <c r="C278" s="1" t="s">
        <v>451</v>
      </c>
      <c r="D278" s="11"/>
      <c r="E278" s="12">
        <v>1</v>
      </c>
      <c r="F278" s="12" t="s">
        <v>50</v>
      </c>
      <c r="G278" s="11">
        <v>1</v>
      </c>
      <c r="I278" s="13"/>
      <c r="J278" s="1"/>
      <c r="K278" s="11"/>
      <c r="L278" s="1"/>
      <c r="M278" s="11"/>
      <c r="N278" s="1"/>
      <c r="O278" s="11"/>
      <c r="P278" s="1"/>
      <c r="Q278" s="11"/>
      <c r="R278" s="11"/>
      <c r="S278" s="11"/>
      <c r="T278" s="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5">
        <f t="shared" si="10"/>
        <v>0</v>
      </c>
    </row>
    <row r="279" spans="1:55" ht="25.5" customHeight="1" x14ac:dyDescent="0.4">
      <c r="A279" s="11">
        <v>499</v>
      </c>
      <c r="B279" s="29" t="s">
        <v>534</v>
      </c>
      <c r="C279" s="29" t="s">
        <v>68</v>
      </c>
      <c r="D279" s="34"/>
      <c r="E279" s="35">
        <v>1</v>
      </c>
      <c r="F279" s="35" t="s">
        <v>50</v>
      </c>
      <c r="G279" s="34">
        <v>1</v>
      </c>
      <c r="I279" s="36"/>
      <c r="J279" s="29"/>
      <c r="K279" s="34"/>
      <c r="L279" s="29"/>
      <c r="M279" s="34"/>
      <c r="N279" s="29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5">
        <f t="shared" si="10"/>
        <v>0</v>
      </c>
    </row>
    <row r="280" spans="1:55" ht="25.5" customHeight="1" x14ac:dyDescent="0.4">
      <c r="A280" s="6">
        <v>498</v>
      </c>
      <c r="B280" s="7" t="s">
        <v>535</v>
      </c>
      <c r="C280" s="7" t="s">
        <v>504</v>
      </c>
      <c r="D280" s="8"/>
      <c r="E280" s="9">
        <v>1</v>
      </c>
      <c r="F280" s="9" t="s">
        <v>50</v>
      </c>
      <c r="G280" s="8">
        <v>1</v>
      </c>
      <c r="I280" s="10"/>
      <c r="J280" s="7"/>
      <c r="K280" s="8"/>
      <c r="L280" s="7"/>
      <c r="M280" s="8"/>
      <c r="N280" s="7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>
        <f t="shared" si="10"/>
        <v>0</v>
      </c>
    </row>
    <row r="281" spans="1:55" ht="25.5" customHeight="1" x14ac:dyDescent="0.4">
      <c r="A281" s="14">
        <v>497</v>
      </c>
      <c r="B281" s="56" t="s">
        <v>536</v>
      </c>
      <c r="C281" s="15" t="s">
        <v>537</v>
      </c>
      <c r="D281" s="14"/>
      <c r="E281" s="16">
        <v>1</v>
      </c>
      <c r="F281" s="16" t="s">
        <v>50</v>
      </c>
      <c r="G281" s="14">
        <v>1</v>
      </c>
      <c r="I281" s="17"/>
      <c r="J281" s="15" t="s">
        <v>538</v>
      </c>
      <c r="K281" s="14"/>
      <c r="L281" s="15" t="s">
        <v>463</v>
      </c>
      <c r="M281" s="14"/>
      <c r="N281" s="14" t="s">
        <v>464</v>
      </c>
      <c r="O281" s="14"/>
      <c r="P281" s="15" t="s">
        <v>481</v>
      </c>
      <c r="Q281" s="14">
        <v>1</v>
      </c>
      <c r="R281" s="15" t="s">
        <v>539</v>
      </c>
      <c r="S281" s="14">
        <v>50</v>
      </c>
      <c r="T281" s="15" t="s">
        <v>54</v>
      </c>
      <c r="U281" s="14">
        <v>50</v>
      </c>
      <c r="V281" s="15" t="s">
        <v>540</v>
      </c>
      <c r="W281" s="14">
        <v>100</v>
      </c>
      <c r="X281" s="15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>
        <f t="shared" si="10"/>
        <v>201</v>
      </c>
    </row>
    <row r="282" spans="1:55" ht="25.5" customHeight="1" x14ac:dyDescent="0.4">
      <c r="A282" s="11">
        <v>494</v>
      </c>
      <c r="B282" s="71" t="s">
        <v>541</v>
      </c>
      <c r="C282" s="1" t="s">
        <v>537</v>
      </c>
      <c r="D282" s="11"/>
      <c r="E282" s="12">
        <v>1</v>
      </c>
      <c r="F282" s="12" t="s">
        <v>50</v>
      </c>
      <c r="G282" s="11">
        <v>1</v>
      </c>
      <c r="I282" s="13"/>
      <c r="J282" s="1"/>
      <c r="K282" s="11"/>
      <c r="L282" s="1" t="s">
        <v>463</v>
      </c>
      <c r="M282" s="11"/>
      <c r="N282" s="11" t="s">
        <v>464</v>
      </c>
      <c r="O282" s="11"/>
      <c r="P282" s="1" t="s">
        <v>481</v>
      </c>
      <c r="Q282" s="11">
        <v>1</v>
      </c>
      <c r="R282" s="1" t="s">
        <v>539</v>
      </c>
      <c r="S282" s="11">
        <v>50</v>
      </c>
      <c r="T282" s="1" t="s">
        <v>54</v>
      </c>
      <c r="U282" s="11">
        <v>50</v>
      </c>
      <c r="V282" s="1" t="s">
        <v>540</v>
      </c>
      <c r="W282" s="11">
        <v>100</v>
      </c>
      <c r="X282" s="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5">
        <f t="shared" si="10"/>
        <v>201</v>
      </c>
    </row>
    <row r="283" spans="1:55" ht="12.75" customHeight="1" x14ac:dyDescent="0.4">
      <c r="A283" s="11">
        <v>493</v>
      </c>
      <c r="B283" s="1" t="s">
        <v>542</v>
      </c>
      <c r="C283" s="1" t="s">
        <v>504</v>
      </c>
      <c r="D283" s="11"/>
      <c r="E283" s="12">
        <v>1</v>
      </c>
      <c r="F283" s="12" t="s">
        <v>50</v>
      </c>
      <c r="G283" s="11">
        <v>1</v>
      </c>
      <c r="I283" s="13"/>
      <c r="J283" s="1"/>
      <c r="K283" s="11"/>
      <c r="L283" s="1"/>
      <c r="M283" s="11"/>
      <c r="N283" s="1"/>
      <c r="O283" s="11"/>
      <c r="P283" s="1"/>
      <c r="Q283" s="11"/>
      <c r="R283" s="11"/>
      <c r="S283" s="11"/>
      <c r="T283" s="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5">
        <f t="shared" si="10"/>
        <v>0</v>
      </c>
    </row>
    <row r="284" spans="1:55" ht="12.75" customHeight="1" x14ac:dyDescent="0.4">
      <c r="A284" s="11">
        <v>488</v>
      </c>
      <c r="B284" s="71" t="s">
        <v>543</v>
      </c>
      <c r="C284" s="1" t="s">
        <v>125</v>
      </c>
      <c r="D284" s="11"/>
      <c r="E284" s="12">
        <v>1</v>
      </c>
      <c r="F284" s="12" t="s">
        <v>50</v>
      </c>
      <c r="G284" s="11">
        <v>1</v>
      </c>
      <c r="I284" s="13"/>
      <c r="J284" s="1"/>
      <c r="K284" s="11"/>
      <c r="L284" s="1" t="s">
        <v>463</v>
      </c>
      <c r="M284" s="11"/>
      <c r="N284" s="11" t="s">
        <v>464</v>
      </c>
      <c r="O284" s="11"/>
      <c r="P284" s="1"/>
      <c r="Q284" s="11"/>
      <c r="R284" s="11"/>
      <c r="S284" s="11"/>
      <c r="T284" s="11"/>
      <c r="U284" s="11"/>
      <c r="V284" s="1"/>
      <c r="W284" s="11"/>
      <c r="X284" s="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5">
        <f t="shared" si="10"/>
        <v>0</v>
      </c>
    </row>
    <row r="285" spans="1:55" ht="12.75" customHeight="1" x14ac:dyDescent="0.4">
      <c r="A285" s="11">
        <v>487</v>
      </c>
      <c r="B285" s="71" t="s">
        <v>544</v>
      </c>
      <c r="C285" s="1" t="s">
        <v>125</v>
      </c>
      <c r="D285" s="11"/>
      <c r="E285" s="12">
        <v>1</v>
      </c>
      <c r="F285" s="12" t="s">
        <v>50</v>
      </c>
      <c r="G285" s="11">
        <v>1</v>
      </c>
      <c r="I285" s="13"/>
      <c r="J285" s="1"/>
      <c r="K285" s="11"/>
      <c r="L285" s="1" t="s">
        <v>463</v>
      </c>
      <c r="M285" s="11"/>
      <c r="N285" s="11" t="s">
        <v>464</v>
      </c>
      <c r="O285" s="11"/>
      <c r="P285" s="1"/>
      <c r="Q285" s="11"/>
      <c r="R285" s="11"/>
      <c r="S285" s="11"/>
      <c r="T285" s="11"/>
      <c r="U285" s="11"/>
      <c r="V285" s="1"/>
      <c r="W285" s="11"/>
      <c r="X285" s="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5">
        <f t="shared" si="10"/>
        <v>0</v>
      </c>
    </row>
    <row r="286" spans="1:55" ht="12.75" customHeight="1" x14ac:dyDescent="0.4">
      <c r="A286" s="11">
        <v>486</v>
      </c>
      <c r="B286" s="71" t="s">
        <v>545</v>
      </c>
      <c r="C286" s="1" t="s">
        <v>125</v>
      </c>
      <c r="D286" s="11"/>
      <c r="E286" s="12">
        <v>1</v>
      </c>
      <c r="F286" s="12" t="s">
        <v>50</v>
      </c>
      <c r="G286" s="11">
        <v>1</v>
      </c>
      <c r="I286" s="13"/>
      <c r="J286" s="1"/>
      <c r="K286" s="11"/>
      <c r="L286" s="1" t="s">
        <v>463</v>
      </c>
      <c r="M286" s="11"/>
      <c r="N286" s="11" t="s">
        <v>464</v>
      </c>
      <c r="O286" s="11"/>
      <c r="P286" s="1"/>
      <c r="Q286" s="11"/>
      <c r="R286" s="11"/>
      <c r="S286" s="11"/>
      <c r="T286" s="11"/>
      <c r="U286" s="11"/>
      <c r="V286" s="1"/>
      <c r="W286" s="11"/>
      <c r="X286" s="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5">
        <f t="shared" si="10"/>
        <v>0</v>
      </c>
    </row>
    <row r="287" spans="1:55" ht="12.75" customHeight="1" x14ac:dyDescent="0.4">
      <c r="A287" s="34">
        <v>481</v>
      </c>
      <c r="B287" s="1" t="s">
        <v>546</v>
      </c>
      <c r="C287" s="1" t="s">
        <v>347</v>
      </c>
      <c r="D287" s="11"/>
      <c r="E287" s="12">
        <v>1</v>
      </c>
      <c r="F287" s="12" t="s">
        <v>50</v>
      </c>
      <c r="G287" s="11"/>
      <c r="I287" s="13"/>
      <c r="J287" s="1"/>
      <c r="K287" s="11"/>
      <c r="L287" s="1"/>
      <c r="M287" s="11"/>
      <c r="N287" s="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5">
        <f t="shared" si="10"/>
        <v>0</v>
      </c>
      <c r="AW287" s="34"/>
      <c r="AX287" s="34"/>
      <c r="AY287" s="34"/>
      <c r="AZ287" s="34"/>
      <c r="BA287" s="34"/>
      <c r="BB287" s="34"/>
      <c r="BC287" s="34"/>
    </row>
    <row r="288" spans="1:55" ht="12.75" customHeight="1" x14ac:dyDescent="0.4">
      <c r="A288" s="34">
        <v>477</v>
      </c>
      <c r="B288" s="1" t="s">
        <v>547</v>
      </c>
      <c r="C288" s="1" t="s">
        <v>347</v>
      </c>
      <c r="D288" s="11"/>
      <c r="E288" s="12">
        <v>1</v>
      </c>
      <c r="F288" s="12" t="s">
        <v>50</v>
      </c>
      <c r="G288" s="11"/>
      <c r="I288" s="13"/>
      <c r="J288" s="1"/>
      <c r="K288" s="11"/>
      <c r="L288" s="1"/>
      <c r="M288" s="11"/>
      <c r="N288" s="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5">
        <f t="shared" si="10"/>
        <v>0</v>
      </c>
      <c r="AW288" s="34"/>
      <c r="AX288" s="34"/>
      <c r="AY288" s="34"/>
      <c r="AZ288" s="34"/>
      <c r="BA288" s="34"/>
      <c r="BB288" s="34"/>
      <c r="BC288" s="34"/>
    </row>
    <row r="289" spans="1:55" ht="12.75" customHeight="1" x14ac:dyDescent="0.4">
      <c r="A289" s="11">
        <v>476</v>
      </c>
      <c r="B289" s="1" t="s">
        <v>548</v>
      </c>
      <c r="C289" s="1" t="s">
        <v>347</v>
      </c>
      <c r="D289" s="11"/>
      <c r="E289" s="12">
        <v>1</v>
      </c>
      <c r="F289" s="12" t="s">
        <v>50</v>
      </c>
      <c r="G289" s="11"/>
      <c r="I289" s="13"/>
      <c r="J289" s="1"/>
      <c r="K289" s="11"/>
      <c r="L289" s="1"/>
      <c r="M289" s="11"/>
      <c r="N289" s="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5">
        <f t="shared" si="10"/>
        <v>0</v>
      </c>
    </row>
    <row r="290" spans="1:55" ht="25.5" customHeight="1" x14ac:dyDescent="0.4">
      <c r="A290" s="7">
        <v>473</v>
      </c>
      <c r="B290" s="23" t="s">
        <v>549</v>
      </c>
      <c r="C290" s="23" t="s">
        <v>347</v>
      </c>
      <c r="D290" s="6"/>
      <c r="E290" s="24">
        <v>1</v>
      </c>
      <c r="F290" s="24" t="s">
        <v>50</v>
      </c>
      <c r="G290" s="6"/>
      <c r="I290" s="25"/>
      <c r="J290" s="23"/>
      <c r="K290" s="6"/>
      <c r="L290" s="23"/>
      <c r="M290" s="6"/>
      <c r="N290" s="23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>
        <f t="shared" si="10"/>
        <v>0</v>
      </c>
      <c r="AW290" s="7"/>
      <c r="AX290" s="33"/>
      <c r="AY290" s="33"/>
      <c r="AZ290" s="33"/>
      <c r="BA290" s="33"/>
      <c r="BB290" s="33"/>
      <c r="BC290" s="33"/>
    </row>
    <row r="291" spans="1:55" ht="25.5" customHeight="1" x14ac:dyDescent="0.4">
      <c r="A291" s="19">
        <v>472</v>
      </c>
      <c r="B291" s="56" t="s">
        <v>550</v>
      </c>
      <c r="C291" s="15" t="s">
        <v>537</v>
      </c>
      <c r="D291" s="14"/>
      <c r="E291" s="16">
        <v>1</v>
      </c>
      <c r="F291" s="16" t="s">
        <v>50</v>
      </c>
      <c r="G291" s="14">
        <v>1</v>
      </c>
      <c r="I291" s="17"/>
      <c r="J291" s="15" t="s">
        <v>538</v>
      </c>
      <c r="K291" s="14"/>
      <c r="L291" s="15" t="s">
        <v>463</v>
      </c>
      <c r="M291" s="14">
        <v>350</v>
      </c>
      <c r="N291" s="14" t="s">
        <v>464</v>
      </c>
      <c r="O291" s="14">
        <v>80</v>
      </c>
      <c r="P291" s="15" t="s">
        <v>481</v>
      </c>
      <c r="Q291" s="14" t="s">
        <v>551</v>
      </c>
      <c r="R291" s="15" t="s">
        <v>539</v>
      </c>
      <c r="S291" s="14">
        <v>50</v>
      </c>
      <c r="T291" s="15" t="s">
        <v>54</v>
      </c>
      <c r="U291" s="14">
        <v>50</v>
      </c>
      <c r="V291" s="15" t="s">
        <v>540</v>
      </c>
      <c r="W291" s="14">
        <v>100</v>
      </c>
      <c r="X291" s="14" t="s">
        <v>552</v>
      </c>
      <c r="Y291" s="14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>
        <f t="shared" si="10"/>
        <v>630</v>
      </c>
      <c r="AW291" s="19"/>
      <c r="AX291" s="33"/>
      <c r="AY291" s="33"/>
      <c r="AZ291" s="33"/>
      <c r="BA291" s="33"/>
      <c r="BB291" s="33"/>
      <c r="BC291" s="33"/>
    </row>
    <row r="292" spans="1:55" ht="12.75" customHeight="1" x14ac:dyDescent="0.4">
      <c r="A292" s="34">
        <v>471</v>
      </c>
      <c r="B292" s="71" t="s">
        <v>553</v>
      </c>
      <c r="C292" s="1" t="s">
        <v>537</v>
      </c>
      <c r="D292" s="11"/>
      <c r="E292" s="12">
        <v>1</v>
      </c>
      <c r="F292" s="12" t="s">
        <v>50</v>
      </c>
      <c r="G292" s="11">
        <v>1</v>
      </c>
      <c r="I292" s="13"/>
      <c r="J292" s="1"/>
      <c r="K292" s="11"/>
      <c r="L292" s="1" t="s">
        <v>463</v>
      </c>
      <c r="M292" s="11">
        <v>350</v>
      </c>
      <c r="N292" s="11" t="s">
        <v>464</v>
      </c>
      <c r="O292" s="11">
        <v>80</v>
      </c>
      <c r="P292" s="1" t="s">
        <v>481</v>
      </c>
      <c r="Q292" s="11" t="s">
        <v>551</v>
      </c>
      <c r="R292" s="1" t="s">
        <v>539</v>
      </c>
      <c r="S292" s="11">
        <v>50</v>
      </c>
      <c r="T292" s="1" t="s">
        <v>54</v>
      </c>
      <c r="U292" s="11">
        <v>50</v>
      </c>
      <c r="V292" s="1" t="s">
        <v>540</v>
      </c>
      <c r="W292" s="11">
        <v>100</v>
      </c>
      <c r="X292" s="11" t="s">
        <v>552</v>
      </c>
      <c r="Y292" s="11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5">
        <f t="shared" si="10"/>
        <v>630</v>
      </c>
      <c r="AW292" s="34"/>
      <c r="AX292" s="34"/>
      <c r="AY292" s="34"/>
      <c r="AZ292" s="34"/>
      <c r="BA292" s="34"/>
      <c r="BB292" s="34"/>
      <c r="BC292" s="34"/>
    </row>
    <row r="293" spans="1:55" ht="25.5" customHeight="1" x14ac:dyDescent="0.4">
      <c r="A293" s="34">
        <v>470</v>
      </c>
      <c r="B293" s="29" t="s">
        <v>554</v>
      </c>
      <c r="C293" s="1" t="s">
        <v>451</v>
      </c>
      <c r="D293" s="1"/>
      <c r="E293" s="64">
        <v>1</v>
      </c>
      <c r="F293" s="64" t="s">
        <v>50</v>
      </c>
      <c r="G293" s="1">
        <v>1</v>
      </c>
      <c r="I293" s="65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5">
        <f t="shared" si="10"/>
        <v>0</v>
      </c>
      <c r="AW293" s="34"/>
      <c r="AX293" s="34"/>
      <c r="AY293" s="34"/>
      <c r="AZ293" s="34"/>
      <c r="BA293" s="34"/>
      <c r="BB293" s="34"/>
      <c r="BC293" s="34"/>
    </row>
    <row r="294" spans="1:55" ht="12.75" customHeight="1" x14ac:dyDescent="0.4">
      <c r="A294" s="11">
        <v>466</v>
      </c>
      <c r="B294" s="1" t="s">
        <v>555</v>
      </c>
      <c r="C294" s="1" t="s">
        <v>125</v>
      </c>
      <c r="D294" s="11"/>
      <c r="E294" s="12">
        <v>30</v>
      </c>
      <c r="F294" s="12" t="s">
        <v>50</v>
      </c>
      <c r="G294" s="12">
        <v>30</v>
      </c>
      <c r="I294" s="13"/>
      <c r="J294" s="1"/>
      <c r="K294" s="11"/>
      <c r="L294" s="1"/>
      <c r="M294" s="11"/>
      <c r="N294" s="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5">
        <f t="shared" si="10"/>
        <v>0</v>
      </c>
    </row>
    <row r="295" spans="1:55" ht="12.75" customHeight="1" x14ac:dyDescent="0.4">
      <c r="A295" s="11">
        <v>465</v>
      </c>
      <c r="B295" s="1" t="s">
        <v>556</v>
      </c>
      <c r="C295" s="1" t="s">
        <v>245</v>
      </c>
      <c r="D295" s="11"/>
      <c r="E295" s="12">
        <v>1</v>
      </c>
      <c r="F295" s="12" t="s">
        <v>50</v>
      </c>
      <c r="G295" s="11">
        <v>1</v>
      </c>
      <c r="I295" s="13"/>
      <c r="J295" s="1"/>
      <c r="K295" s="11"/>
      <c r="L295" s="1"/>
      <c r="M295" s="11"/>
      <c r="N295" s="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5">
        <f t="shared" si="10"/>
        <v>0</v>
      </c>
    </row>
    <row r="296" spans="1:55" ht="25.5" customHeight="1" x14ac:dyDescent="0.4">
      <c r="A296" s="11">
        <v>463</v>
      </c>
      <c r="B296" s="1" t="s">
        <v>557</v>
      </c>
      <c r="C296" s="1" t="s">
        <v>49</v>
      </c>
      <c r="D296" s="11"/>
      <c r="E296" s="12">
        <v>1</v>
      </c>
      <c r="F296" s="12" t="s">
        <v>50</v>
      </c>
      <c r="G296" s="11">
        <v>24</v>
      </c>
      <c r="I296" s="13"/>
      <c r="J296" s="1"/>
      <c r="K296" s="11"/>
      <c r="L296" s="1"/>
      <c r="M296" s="11"/>
      <c r="N296" s="1"/>
      <c r="O296" s="11"/>
      <c r="P296" s="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5">
        <f t="shared" si="10"/>
        <v>0</v>
      </c>
    </row>
    <row r="297" spans="1:55" ht="25.5" customHeight="1" x14ac:dyDescent="0.4">
      <c r="A297" s="11">
        <v>462</v>
      </c>
      <c r="B297" s="1" t="s">
        <v>558</v>
      </c>
      <c r="C297" s="1" t="s">
        <v>517</v>
      </c>
      <c r="D297" s="11"/>
      <c r="E297" s="12">
        <v>1</v>
      </c>
      <c r="F297" s="12" t="s">
        <v>50</v>
      </c>
      <c r="G297" s="11">
        <v>1</v>
      </c>
      <c r="I297" s="13"/>
      <c r="J297" s="1"/>
      <c r="K297" s="11"/>
      <c r="L297" s="1"/>
      <c r="M297" s="11"/>
      <c r="N297" s="1"/>
      <c r="O297" s="11"/>
      <c r="P297" s="1"/>
      <c r="Q297" s="11"/>
      <c r="R297" s="11"/>
      <c r="S297" s="11"/>
      <c r="T297" s="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5">
        <f t="shared" si="10"/>
        <v>0</v>
      </c>
    </row>
    <row r="298" spans="1:55" ht="12.75" customHeight="1" x14ac:dyDescent="0.4">
      <c r="A298" s="11">
        <v>459</v>
      </c>
      <c r="B298" s="29" t="s">
        <v>559</v>
      </c>
      <c r="C298" s="29" t="s">
        <v>451</v>
      </c>
      <c r="D298" s="34"/>
      <c r="E298" s="35">
        <v>1</v>
      </c>
      <c r="F298" s="35" t="s">
        <v>50</v>
      </c>
      <c r="G298" s="34">
        <v>1</v>
      </c>
      <c r="I298" s="36"/>
      <c r="J298" s="29"/>
      <c r="K298" s="34"/>
      <c r="L298" s="29"/>
      <c r="M298" s="34"/>
      <c r="N298" s="29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5">
        <f t="shared" si="10"/>
        <v>0</v>
      </c>
    </row>
    <row r="299" spans="1:55" ht="25.5" customHeight="1" x14ac:dyDescent="0.4">
      <c r="A299" s="11">
        <v>458</v>
      </c>
      <c r="B299" s="1" t="s">
        <v>560</v>
      </c>
      <c r="C299" s="1" t="s">
        <v>245</v>
      </c>
      <c r="D299" s="11"/>
      <c r="E299" s="12">
        <v>1</v>
      </c>
      <c r="F299" s="12" t="s">
        <v>50</v>
      </c>
      <c r="G299" s="11"/>
      <c r="I299" s="13"/>
      <c r="J299" s="1"/>
      <c r="K299" s="11"/>
      <c r="L299" s="1"/>
      <c r="M299" s="11"/>
      <c r="N299" s="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5">
        <f t="shared" si="10"/>
        <v>0</v>
      </c>
    </row>
    <row r="300" spans="1:55" ht="25.5" customHeight="1" x14ac:dyDescent="0.4">
      <c r="A300" s="11">
        <v>457</v>
      </c>
      <c r="B300" s="1" t="s">
        <v>561</v>
      </c>
      <c r="C300" s="1" t="s">
        <v>504</v>
      </c>
      <c r="D300" s="11"/>
      <c r="E300" s="12">
        <v>1</v>
      </c>
      <c r="F300" s="12" t="s">
        <v>50</v>
      </c>
      <c r="G300" s="11">
        <v>1</v>
      </c>
      <c r="I300" s="13"/>
      <c r="J300" s="1"/>
      <c r="K300" s="11"/>
      <c r="L300" s="1"/>
      <c r="M300" s="11"/>
      <c r="N300" s="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5">
        <f t="shared" si="10"/>
        <v>0</v>
      </c>
    </row>
    <row r="301" spans="1:55" ht="25.5" customHeight="1" x14ac:dyDescent="0.4">
      <c r="A301" s="11">
        <v>456</v>
      </c>
      <c r="B301" s="29" t="s">
        <v>562</v>
      </c>
      <c r="C301" s="1" t="s">
        <v>451</v>
      </c>
      <c r="D301" s="11"/>
      <c r="E301" s="12">
        <v>1</v>
      </c>
      <c r="F301" s="12" t="s">
        <v>50</v>
      </c>
      <c r="G301" s="11">
        <v>1</v>
      </c>
      <c r="I301" s="13"/>
      <c r="J301" s="1"/>
      <c r="K301" s="11"/>
      <c r="L301" s="1"/>
      <c r="M301" s="11"/>
      <c r="N301" s="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5">
        <f t="shared" si="10"/>
        <v>0</v>
      </c>
      <c r="AW301" s="11"/>
    </row>
    <row r="302" spans="1:55" ht="25.5" customHeight="1" x14ac:dyDescent="0.4">
      <c r="A302" s="11">
        <v>455</v>
      </c>
      <c r="B302" s="1" t="s">
        <v>563</v>
      </c>
      <c r="C302" s="1" t="s">
        <v>504</v>
      </c>
      <c r="D302" s="11"/>
      <c r="E302" s="12">
        <v>1</v>
      </c>
      <c r="F302" s="12" t="s">
        <v>50</v>
      </c>
      <c r="G302" s="11">
        <v>1</v>
      </c>
      <c r="I302" s="13"/>
      <c r="J302" s="1"/>
      <c r="K302" s="11"/>
      <c r="L302" s="1"/>
      <c r="M302" s="11"/>
      <c r="N302" s="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5">
        <f t="shared" si="10"/>
        <v>0</v>
      </c>
    </row>
    <row r="303" spans="1:55" ht="25.5" customHeight="1" x14ac:dyDescent="0.4">
      <c r="A303" s="6">
        <v>454</v>
      </c>
      <c r="B303" s="7" t="s">
        <v>564</v>
      </c>
      <c r="C303" s="7" t="s">
        <v>517</v>
      </c>
      <c r="D303" s="7"/>
      <c r="E303" s="37">
        <v>1</v>
      </c>
      <c r="F303" s="37" t="s">
        <v>50</v>
      </c>
      <c r="G303" s="7">
        <v>1</v>
      </c>
      <c r="I303" s="38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>
        <f t="shared" si="10"/>
        <v>0</v>
      </c>
    </row>
    <row r="304" spans="1:55" ht="25.5" customHeight="1" x14ac:dyDescent="0.4">
      <c r="A304" s="14">
        <v>453</v>
      </c>
      <c r="B304" s="19" t="s">
        <v>565</v>
      </c>
      <c r="C304" s="19" t="s">
        <v>162</v>
      </c>
      <c r="D304" s="19">
        <f>M304+Q304+S304+O304</f>
        <v>123</v>
      </c>
      <c r="E304" s="40">
        <v>1</v>
      </c>
      <c r="F304" s="40" t="s">
        <v>50</v>
      </c>
      <c r="G304" s="19">
        <v>11</v>
      </c>
      <c r="I304" s="41"/>
      <c r="J304" s="19"/>
      <c r="K304" s="26"/>
      <c r="L304" s="19" t="s">
        <v>566</v>
      </c>
      <c r="M304" s="19">
        <v>10</v>
      </c>
      <c r="N304" s="19" t="s">
        <v>567</v>
      </c>
      <c r="O304" s="19">
        <v>3</v>
      </c>
      <c r="P304" s="19" t="s">
        <v>568</v>
      </c>
      <c r="Q304" s="19">
        <v>100</v>
      </c>
      <c r="R304" s="19" t="s">
        <v>219</v>
      </c>
      <c r="S304" s="19">
        <v>10</v>
      </c>
      <c r="T304" s="19" t="s">
        <v>569</v>
      </c>
      <c r="U304" s="19">
        <v>10</v>
      </c>
      <c r="V304" s="19"/>
      <c r="W304" s="19"/>
      <c r="X304" s="19"/>
      <c r="Y304" s="19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>
        <f t="shared" si="10"/>
        <v>133</v>
      </c>
    </row>
    <row r="305" spans="1:55" ht="12.75" customHeight="1" x14ac:dyDescent="0.4">
      <c r="A305" s="14">
        <v>447</v>
      </c>
      <c r="B305" s="15" t="s">
        <v>570</v>
      </c>
      <c r="C305" s="15" t="s">
        <v>49</v>
      </c>
      <c r="D305" s="14">
        <f>K305+12</f>
        <v>32</v>
      </c>
      <c r="E305" s="16">
        <v>1</v>
      </c>
      <c r="F305" s="16" t="s">
        <v>50</v>
      </c>
      <c r="G305" s="14">
        <v>24</v>
      </c>
      <c r="H305" s="5" t="s">
        <v>321</v>
      </c>
      <c r="I305" s="17">
        <v>1</v>
      </c>
      <c r="J305" s="15" t="s">
        <v>52</v>
      </c>
      <c r="K305" s="14">
        <v>20</v>
      </c>
      <c r="L305" s="15" t="s">
        <v>261</v>
      </c>
      <c r="M305" s="14">
        <v>10</v>
      </c>
      <c r="N305" s="15" t="s">
        <v>571</v>
      </c>
      <c r="O305" s="14"/>
      <c r="P305" s="15" t="s">
        <v>572</v>
      </c>
      <c r="Q305" s="14">
        <v>1</v>
      </c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>
        <f t="shared" si="10"/>
        <v>32</v>
      </c>
    </row>
    <row r="306" spans="1:55" ht="25.5" customHeight="1" x14ac:dyDescent="0.4">
      <c r="A306" s="11">
        <v>438</v>
      </c>
      <c r="B306" s="1" t="s">
        <v>573</v>
      </c>
      <c r="C306" s="1" t="s">
        <v>49</v>
      </c>
      <c r="D306" s="11">
        <f>M306+O306+S306+12</f>
        <v>37</v>
      </c>
      <c r="E306" s="12">
        <v>1</v>
      </c>
      <c r="F306" s="12" t="s">
        <v>50</v>
      </c>
      <c r="G306" s="11">
        <v>24</v>
      </c>
      <c r="H306" s="5" t="s">
        <v>321</v>
      </c>
      <c r="I306" s="13">
        <v>1</v>
      </c>
      <c r="J306" s="1"/>
      <c r="K306" s="11"/>
      <c r="L306" s="1" t="s">
        <v>480</v>
      </c>
      <c r="M306" s="11">
        <v>5</v>
      </c>
      <c r="N306" s="1" t="s">
        <v>89</v>
      </c>
      <c r="O306" s="11">
        <v>15</v>
      </c>
      <c r="P306" s="1" t="s">
        <v>87</v>
      </c>
      <c r="Q306" s="11">
        <v>5</v>
      </c>
      <c r="R306" s="11" t="s">
        <v>65</v>
      </c>
      <c r="S306" s="11">
        <v>5</v>
      </c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5">
        <f t="shared" si="10"/>
        <v>31</v>
      </c>
    </row>
    <row r="307" spans="1:55" ht="25.5" customHeight="1" x14ac:dyDescent="0.4">
      <c r="A307" s="6">
        <v>437</v>
      </c>
      <c r="B307" s="23" t="s">
        <v>574</v>
      </c>
      <c r="C307" s="23" t="s">
        <v>49</v>
      </c>
      <c r="D307" s="6">
        <f>K307+12</f>
        <v>32</v>
      </c>
      <c r="E307" s="24">
        <v>1</v>
      </c>
      <c r="F307" s="24" t="s">
        <v>50</v>
      </c>
      <c r="G307" s="6">
        <v>24</v>
      </c>
      <c r="H307" s="5" t="s">
        <v>321</v>
      </c>
      <c r="I307" s="25">
        <v>1</v>
      </c>
      <c r="J307" s="23" t="s">
        <v>52</v>
      </c>
      <c r="K307" s="6">
        <v>20</v>
      </c>
      <c r="L307" s="23" t="s">
        <v>122</v>
      </c>
      <c r="M307" s="6">
        <v>15</v>
      </c>
      <c r="N307" s="23" t="s">
        <v>571</v>
      </c>
      <c r="O307" s="6">
        <v>2</v>
      </c>
      <c r="P307" s="23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>
        <f t="shared" si="10"/>
        <v>38</v>
      </c>
    </row>
    <row r="308" spans="1:55" ht="25.5" customHeight="1" x14ac:dyDescent="0.4">
      <c r="A308" s="14">
        <v>436</v>
      </c>
      <c r="B308" s="15" t="s">
        <v>575</v>
      </c>
      <c r="C308" s="15" t="s">
        <v>49</v>
      </c>
      <c r="D308" s="14">
        <f>K308+M308+12</f>
        <v>42</v>
      </c>
      <c r="E308" s="16">
        <v>1</v>
      </c>
      <c r="F308" s="16" t="s">
        <v>50</v>
      </c>
      <c r="G308" s="14">
        <v>24</v>
      </c>
      <c r="H308" s="5" t="s">
        <v>321</v>
      </c>
      <c r="I308" s="17">
        <v>1</v>
      </c>
      <c r="J308" s="15" t="s">
        <v>52</v>
      </c>
      <c r="K308" s="14">
        <v>10</v>
      </c>
      <c r="L308" s="15" t="s">
        <v>308</v>
      </c>
      <c r="M308" s="14">
        <v>20</v>
      </c>
      <c r="N308" s="15" t="s">
        <v>65</v>
      </c>
      <c r="O308" s="14"/>
      <c r="P308" s="15" t="s">
        <v>91</v>
      </c>
      <c r="Q308" s="14">
        <v>5</v>
      </c>
      <c r="R308" s="14" t="s">
        <v>123</v>
      </c>
      <c r="S308" s="14">
        <v>20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>
        <f t="shared" si="10"/>
        <v>56</v>
      </c>
    </row>
    <row r="309" spans="1:55" ht="25.5" customHeight="1" x14ac:dyDescent="0.4">
      <c r="A309" s="11">
        <v>435</v>
      </c>
      <c r="B309" s="1" t="s">
        <v>576</v>
      </c>
      <c r="C309" s="1" t="s">
        <v>49</v>
      </c>
      <c r="D309" s="11">
        <f>K309+M309+12</f>
        <v>32</v>
      </c>
      <c r="E309" s="12">
        <v>1</v>
      </c>
      <c r="F309" s="12" t="s">
        <v>50</v>
      </c>
      <c r="G309" s="11">
        <v>24</v>
      </c>
      <c r="H309" s="5" t="s">
        <v>321</v>
      </c>
      <c r="I309" s="13">
        <v>1</v>
      </c>
      <c r="J309" s="1" t="s">
        <v>52</v>
      </c>
      <c r="K309" s="11">
        <v>10</v>
      </c>
      <c r="L309" s="1" t="s">
        <v>111</v>
      </c>
      <c r="M309" s="11">
        <v>10</v>
      </c>
      <c r="N309" s="1" t="s">
        <v>66</v>
      </c>
      <c r="O309" s="11"/>
      <c r="P309" s="1" t="s">
        <v>87</v>
      </c>
      <c r="Q309" s="11">
        <v>5</v>
      </c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5">
        <f t="shared" si="10"/>
        <v>26</v>
      </c>
    </row>
    <row r="310" spans="1:55" ht="25.5" customHeight="1" x14ac:dyDescent="0.4">
      <c r="A310" s="7">
        <v>434</v>
      </c>
      <c r="B310" s="23" t="s">
        <v>577</v>
      </c>
      <c r="C310" s="23" t="s">
        <v>49</v>
      </c>
      <c r="D310" s="6">
        <f>K310+12</f>
        <v>37</v>
      </c>
      <c r="E310" s="24">
        <v>1</v>
      </c>
      <c r="F310" s="24" t="s">
        <v>50</v>
      </c>
      <c r="G310" s="6">
        <v>24</v>
      </c>
      <c r="H310" s="5" t="s">
        <v>321</v>
      </c>
      <c r="I310" s="25">
        <v>1</v>
      </c>
      <c r="J310" s="23" t="s">
        <v>52</v>
      </c>
      <c r="K310" s="6">
        <v>25</v>
      </c>
      <c r="L310" s="23" t="s">
        <v>264</v>
      </c>
      <c r="M310" s="6">
        <v>5</v>
      </c>
      <c r="N310" s="23"/>
      <c r="O310" s="6"/>
      <c r="P310" s="23"/>
      <c r="Q310" s="6"/>
      <c r="R310" s="6"/>
      <c r="S310" s="6"/>
      <c r="T310" s="6"/>
      <c r="U310" s="6"/>
      <c r="V310" s="6"/>
      <c r="W310" s="6"/>
      <c r="X310" s="6"/>
      <c r="Y310" s="6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7"/>
      <c r="AT310" s="7" t="s">
        <v>249</v>
      </c>
      <c r="AU310" s="7"/>
      <c r="AV310">
        <f>SUM(I310,K310,M310,O310,Q310,S310,U310,W310,Y310,AA370,AC370,AE370,AG370,AI370,AK370,AM370,AO370,AQ370,AS310,AU310)</f>
        <v>31</v>
      </c>
      <c r="AW310" s="33"/>
      <c r="AX310" s="33"/>
      <c r="AY310" s="33"/>
      <c r="AZ310" s="33"/>
      <c r="BA310" s="33"/>
      <c r="BB310" s="33"/>
      <c r="BC310" s="33"/>
    </row>
    <row r="311" spans="1:55" ht="25.5" customHeight="1" x14ac:dyDescent="0.4">
      <c r="A311" s="29">
        <v>433</v>
      </c>
      <c r="B311" s="1" t="s">
        <v>578</v>
      </c>
      <c r="C311" s="1" t="s">
        <v>49</v>
      </c>
      <c r="D311" s="11">
        <f>K311+M311+O311+12</f>
        <v>37</v>
      </c>
      <c r="E311" s="12">
        <v>1</v>
      </c>
      <c r="F311" s="12" t="s">
        <v>50</v>
      </c>
      <c r="G311" s="11">
        <v>24</v>
      </c>
      <c r="H311" s="5" t="s">
        <v>321</v>
      </c>
      <c r="I311" s="13">
        <v>1</v>
      </c>
      <c r="J311" s="1" t="s">
        <v>52</v>
      </c>
      <c r="K311" s="11">
        <v>10</v>
      </c>
      <c r="L311" s="1" t="s">
        <v>236</v>
      </c>
      <c r="M311" s="11">
        <v>10</v>
      </c>
      <c r="N311" s="1" t="s">
        <v>238</v>
      </c>
      <c r="O311" s="11">
        <v>5</v>
      </c>
      <c r="P311" s="1" t="s">
        <v>319</v>
      </c>
      <c r="Q311" s="11">
        <v>5</v>
      </c>
      <c r="R311" s="11"/>
      <c r="S311" s="11"/>
      <c r="T311" s="11"/>
      <c r="U311" s="11"/>
      <c r="V311" s="11"/>
      <c r="W311" s="11"/>
      <c r="X311" s="11"/>
      <c r="Y311" s="11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5">
        <f t="shared" ref="AV311:AV332" si="11">SUM(I311,K311,M311,O311,Q311,S311,U311,W311,Y311,AA311,AC311,AE311,AG311,AI311,AK311,AM311,AO311,AQ311,AS311,AU311)</f>
        <v>31</v>
      </c>
      <c r="AW311" s="29"/>
      <c r="AX311" s="29"/>
      <c r="AY311" s="29"/>
      <c r="AZ311" s="29"/>
      <c r="BA311" s="29"/>
      <c r="BB311" s="29"/>
      <c r="BC311" s="29"/>
    </row>
    <row r="312" spans="1:55" ht="25.5" customHeight="1" x14ac:dyDescent="0.4">
      <c r="A312" s="7">
        <v>431</v>
      </c>
      <c r="B312" s="23" t="s">
        <v>579</v>
      </c>
      <c r="C312" s="23" t="s">
        <v>49</v>
      </c>
      <c r="D312" s="6">
        <f>K312+O312+12</f>
        <v>47</v>
      </c>
      <c r="E312" s="24">
        <v>1</v>
      </c>
      <c r="F312" s="24" t="s">
        <v>50</v>
      </c>
      <c r="G312" s="6">
        <v>24</v>
      </c>
      <c r="H312" s="5" t="s">
        <v>321</v>
      </c>
      <c r="I312" s="25">
        <v>1</v>
      </c>
      <c r="J312" s="23" t="s">
        <v>52</v>
      </c>
      <c r="K312" s="6">
        <v>25</v>
      </c>
      <c r="L312" s="23" t="s">
        <v>66</v>
      </c>
      <c r="M312" s="6"/>
      <c r="N312" s="23" t="s">
        <v>580</v>
      </c>
      <c r="O312" s="6">
        <v>10</v>
      </c>
      <c r="P312" s="23"/>
      <c r="Q312" s="6"/>
      <c r="R312" s="6"/>
      <c r="S312" s="6"/>
      <c r="T312" s="6"/>
      <c r="U312" s="6"/>
      <c r="V312" s="6"/>
      <c r="W312" s="6"/>
      <c r="X312" s="6"/>
      <c r="Y312" s="6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>
        <f t="shared" si="11"/>
        <v>36</v>
      </c>
      <c r="AW312" s="33"/>
      <c r="AX312" s="33"/>
      <c r="AY312" s="33"/>
      <c r="AZ312" s="33"/>
      <c r="BA312" s="33"/>
      <c r="BB312" s="33"/>
      <c r="BC312" s="33"/>
    </row>
    <row r="313" spans="1:55" ht="25.5" customHeight="1" x14ac:dyDescent="0.4">
      <c r="A313" s="20">
        <v>304</v>
      </c>
      <c r="B313" s="19" t="s">
        <v>581</v>
      </c>
      <c r="C313" s="19" t="s">
        <v>49</v>
      </c>
      <c r="D313" s="20"/>
      <c r="E313" s="21">
        <v>1</v>
      </c>
      <c r="F313" s="21" t="s">
        <v>50</v>
      </c>
      <c r="G313" s="20">
        <v>24</v>
      </c>
      <c r="I313" s="22"/>
      <c r="J313" s="19"/>
      <c r="K313" s="20"/>
      <c r="L313" s="19" t="s">
        <v>396</v>
      </c>
      <c r="M313" s="20">
        <v>25</v>
      </c>
      <c r="N313" s="19" t="s">
        <v>582</v>
      </c>
      <c r="O313" s="20">
        <v>15</v>
      </c>
      <c r="P313" s="19" t="s">
        <v>253</v>
      </c>
      <c r="Q313" s="20">
        <v>5</v>
      </c>
      <c r="R313" s="20" t="s">
        <v>91</v>
      </c>
      <c r="S313" s="20">
        <v>5</v>
      </c>
      <c r="T313" s="20" t="s">
        <v>65</v>
      </c>
      <c r="U313" s="20">
        <v>10</v>
      </c>
      <c r="V313" s="20" t="s">
        <v>72</v>
      </c>
      <c r="W313" s="20">
        <v>5</v>
      </c>
      <c r="X313" s="20" t="s">
        <v>87</v>
      </c>
      <c r="Y313" s="20">
        <v>5</v>
      </c>
      <c r="Z313" s="34"/>
      <c r="AA313" s="34"/>
      <c r="AB313" s="34"/>
      <c r="AC313" s="34"/>
      <c r="AD313" s="34"/>
      <c r="AE313" s="34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>
        <f t="shared" si="11"/>
        <v>70</v>
      </c>
      <c r="AW313" s="34"/>
      <c r="AX313" s="34"/>
      <c r="AY313" s="34"/>
      <c r="AZ313" s="34"/>
      <c r="BA313" s="34"/>
      <c r="BB313" s="34"/>
      <c r="BC313" s="34"/>
    </row>
    <row r="314" spans="1:55" ht="25.5" customHeight="1" x14ac:dyDescent="0.4">
      <c r="A314" s="14">
        <v>303</v>
      </c>
      <c r="B314" s="56" t="s">
        <v>583</v>
      </c>
      <c r="C314" s="15" t="s">
        <v>537</v>
      </c>
      <c r="D314" s="14"/>
      <c r="E314" s="16">
        <v>1</v>
      </c>
      <c r="F314" s="16" t="s">
        <v>50</v>
      </c>
      <c r="G314" s="14">
        <v>1</v>
      </c>
      <c r="I314" s="17"/>
      <c r="J314" s="15"/>
      <c r="K314" s="14"/>
      <c r="L314" s="15" t="s">
        <v>463</v>
      </c>
      <c r="M314" s="14">
        <v>900</v>
      </c>
      <c r="N314" s="14" t="s">
        <v>464</v>
      </c>
      <c r="O314" s="14">
        <v>100</v>
      </c>
      <c r="P314" s="15" t="s">
        <v>481</v>
      </c>
      <c r="Q314" s="15" t="s">
        <v>584</v>
      </c>
      <c r="R314" s="15" t="s">
        <v>466</v>
      </c>
      <c r="S314" s="14">
        <v>20</v>
      </c>
      <c r="T314" s="14" t="s">
        <v>63</v>
      </c>
      <c r="U314" s="14">
        <v>10</v>
      </c>
      <c r="V314" s="15" t="s">
        <v>90</v>
      </c>
      <c r="W314" s="14">
        <v>10</v>
      </c>
      <c r="X314" s="89" t="s">
        <v>585</v>
      </c>
      <c r="Y314" s="14">
        <v>10</v>
      </c>
      <c r="Z314" s="26"/>
      <c r="AA314" s="26"/>
      <c r="AB314" s="26"/>
      <c r="AC314" s="26"/>
      <c r="AD314" s="26"/>
      <c r="AE314" s="26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>
        <f t="shared" si="11"/>
        <v>1050</v>
      </c>
      <c r="AW314" s="26"/>
      <c r="AX314" s="26"/>
      <c r="AY314" s="26"/>
      <c r="AZ314"/>
      <c r="BA314"/>
      <c r="BB314"/>
      <c r="BC314"/>
    </row>
    <row r="315" spans="1:55" ht="25.5" customHeight="1" x14ac:dyDescent="0.4">
      <c r="A315" s="20">
        <v>264</v>
      </c>
      <c r="B315" s="56" t="s">
        <v>586</v>
      </c>
      <c r="C315" s="15" t="s">
        <v>537</v>
      </c>
      <c r="D315" s="14"/>
      <c r="E315" s="16">
        <v>1</v>
      </c>
      <c r="F315" s="16" t="s">
        <v>50</v>
      </c>
      <c r="G315" s="14">
        <v>1</v>
      </c>
      <c r="I315" s="17"/>
      <c r="J315" s="15"/>
      <c r="K315" s="14"/>
      <c r="L315" s="15" t="s">
        <v>463</v>
      </c>
      <c r="M315" s="14">
        <v>900</v>
      </c>
      <c r="N315" s="14" t="s">
        <v>464</v>
      </c>
      <c r="O315" s="14">
        <v>100</v>
      </c>
      <c r="P315" s="15" t="s">
        <v>481</v>
      </c>
      <c r="Q315" s="15" t="s">
        <v>584</v>
      </c>
      <c r="R315" s="14" t="s">
        <v>63</v>
      </c>
      <c r="S315" s="14">
        <v>20</v>
      </c>
      <c r="T315" s="14" t="s">
        <v>90</v>
      </c>
      <c r="U315" s="14">
        <v>10</v>
      </c>
      <c r="V315" s="15" t="s">
        <v>332</v>
      </c>
      <c r="W315" s="14">
        <v>20</v>
      </c>
      <c r="X315" s="15" t="s">
        <v>475</v>
      </c>
      <c r="Y315" s="14">
        <v>10</v>
      </c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>
        <f t="shared" si="11"/>
        <v>1060</v>
      </c>
      <c r="AW315" s="20"/>
      <c r="AX315" s="20"/>
      <c r="AY315" s="20"/>
      <c r="AZ315" s="30"/>
      <c r="BA315" s="30"/>
      <c r="BB315" s="30"/>
      <c r="BC315" s="30"/>
    </row>
    <row r="316" spans="1:55" ht="25.5" customHeight="1" x14ac:dyDescent="0.4">
      <c r="A316" s="20">
        <v>263</v>
      </c>
      <c r="B316" s="56" t="s">
        <v>587</v>
      </c>
      <c r="C316" s="15" t="s">
        <v>537</v>
      </c>
      <c r="D316" s="14"/>
      <c r="E316" s="16">
        <v>1</v>
      </c>
      <c r="F316" s="16" t="s">
        <v>50</v>
      </c>
      <c r="G316" s="14">
        <v>1</v>
      </c>
      <c r="I316" s="17"/>
      <c r="J316" s="15" t="s">
        <v>538</v>
      </c>
      <c r="K316" s="14"/>
      <c r="L316" s="15" t="s">
        <v>463</v>
      </c>
      <c r="M316" s="14">
        <v>350</v>
      </c>
      <c r="N316" s="14" t="s">
        <v>464</v>
      </c>
      <c r="O316" s="14">
        <v>80</v>
      </c>
      <c r="P316" s="15" t="s">
        <v>481</v>
      </c>
      <c r="Q316" s="14" t="s">
        <v>551</v>
      </c>
      <c r="R316" s="15" t="s">
        <v>539</v>
      </c>
      <c r="S316" s="14">
        <v>20</v>
      </c>
      <c r="T316" s="15" t="s">
        <v>54</v>
      </c>
      <c r="U316" s="14">
        <v>50</v>
      </c>
      <c r="V316" s="15" t="s">
        <v>540</v>
      </c>
      <c r="W316" s="14">
        <v>100</v>
      </c>
      <c r="X316" s="14" t="s">
        <v>552</v>
      </c>
      <c r="Y316" s="14">
        <v>5</v>
      </c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>
        <f t="shared" si="11"/>
        <v>605</v>
      </c>
      <c r="AW316" s="20"/>
      <c r="AX316" s="30"/>
      <c r="AY316" s="30"/>
      <c r="AZ316" s="30"/>
      <c r="BA316" s="30"/>
      <c r="BB316" s="30"/>
      <c r="BC316" s="30"/>
    </row>
    <row r="317" spans="1:55" ht="25.5" customHeight="1" x14ac:dyDescent="0.4">
      <c r="A317" s="19">
        <v>254</v>
      </c>
      <c r="B317" s="56" t="s">
        <v>588</v>
      </c>
      <c r="C317" s="15" t="s">
        <v>537</v>
      </c>
      <c r="D317" s="14"/>
      <c r="E317" s="16">
        <v>1</v>
      </c>
      <c r="F317" s="16" t="s">
        <v>50</v>
      </c>
      <c r="G317" s="14">
        <v>1</v>
      </c>
      <c r="I317" s="17"/>
      <c r="J317" s="15" t="s">
        <v>538</v>
      </c>
      <c r="K317" s="14"/>
      <c r="L317" s="15" t="s">
        <v>463</v>
      </c>
      <c r="M317" s="14">
        <v>350</v>
      </c>
      <c r="N317" s="14" t="s">
        <v>464</v>
      </c>
      <c r="O317" s="14">
        <v>80</v>
      </c>
      <c r="P317" s="15" t="s">
        <v>481</v>
      </c>
      <c r="Q317" s="14" t="s">
        <v>551</v>
      </c>
      <c r="R317" s="15" t="s">
        <v>539</v>
      </c>
      <c r="S317" s="14">
        <v>20</v>
      </c>
      <c r="T317" s="15" t="s">
        <v>54</v>
      </c>
      <c r="U317" s="14">
        <v>50</v>
      </c>
      <c r="V317" s="15" t="s">
        <v>540</v>
      </c>
      <c r="W317" s="14">
        <v>100</v>
      </c>
      <c r="X317" s="14" t="s">
        <v>552</v>
      </c>
      <c r="Y317" s="14">
        <v>5</v>
      </c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>
        <f t="shared" si="11"/>
        <v>605</v>
      </c>
      <c r="AW317" s="19"/>
      <c r="AX317" s="33"/>
      <c r="AY317" s="33"/>
      <c r="AZ317" s="33"/>
      <c r="BA317" s="33"/>
      <c r="BB317" s="33"/>
      <c r="BC317" s="33"/>
    </row>
    <row r="318" spans="1:55" ht="25.5" customHeight="1" x14ac:dyDescent="0.4">
      <c r="A318" s="19">
        <v>253</v>
      </c>
      <c r="B318" s="56" t="s">
        <v>589</v>
      </c>
      <c r="C318" s="15" t="s">
        <v>537</v>
      </c>
      <c r="D318" s="14"/>
      <c r="E318" s="16">
        <v>1</v>
      </c>
      <c r="F318" s="16" t="s">
        <v>50</v>
      </c>
      <c r="G318" s="14">
        <v>1</v>
      </c>
      <c r="I318" s="17"/>
      <c r="J318" s="15" t="s">
        <v>538</v>
      </c>
      <c r="K318" s="14"/>
      <c r="L318" s="15" t="s">
        <v>463</v>
      </c>
      <c r="M318" s="14">
        <v>600</v>
      </c>
      <c r="N318" s="14" t="s">
        <v>464</v>
      </c>
      <c r="O318" s="14">
        <v>120</v>
      </c>
      <c r="P318" s="15" t="s">
        <v>481</v>
      </c>
      <c r="Q318" s="14" t="s">
        <v>590</v>
      </c>
      <c r="R318" s="15" t="s">
        <v>539</v>
      </c>
      <c r="S318" s="14">
        <v>30</v>
      </c>
      <c r="T318" s="15" t="s">
        <v>54</v>
      </c>
      <c r="U318" s="14">
        <v>50</v>
      </c>
      <c r="V318" s="15" t="s">
        <v>540</v>
      </c>
      <c r="W318" s="14">
        <v>100</v>
      </c>
      <c r="X318" s="14" t="s">
        <v>552</v>
      </c>
      <c r="Y318" s="14">
        <v>5</v>
      </c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>
        <f t="shared" si="11"/>
        <v>905</v>
      </c>
      <c r="AW318" s="19"/>
      <c r="AX318" s="33"/>
      <c r="AY318" s="33"/>
      <c r="AZ318" s="33"/>
      <c r="BA318" s="33"/>
      <c r="BB318" s="33"/>
      <c r="BC318" s="33"/>
    </row>
    <row r="319" spans="1:55" ht="25.5" customHeight="1" x14ac:dyDescent="0.4">
      <c r="A319" s="19">
        <v>252</v>
      </c>
      <c r="B319" s="56" t="s">
        <v>591</v>
      </c>
      <c r="C319" s="15" t="s">
        <v>537</v>
      </c>
      <c r="D319" s="14"/>
      <c r="E319" s="16">
        <v>1</v>
      </c>
      <c r="F319" s="16" t="s">
        <v>50</v>
      </c>
      <c r="G319" s="14">
        <v>1</v>
      </c>
      <c r="I319" s="17"/>
      <c r="J319" s="15" t="s">
        <v>538</v>
      </c>
      <c r="K319" s="14"/>
      <c r="L319" s="15" t="s">
        <v>463</v>
      </c>
      <c r="M319" s="14">
        <v>350</v>
      </c>
      <c r="N319" s="14" t="s">
        <v>464</v>
      </c>
      <c r="O319" s="14">
        <v>80</v>
      </c>
      <c r="P319" s="15" t="s">
        <v>481</v>
      </c>
      <c r="Q319" s="14" t="s">
        <v>551</v>
      </c>
      <c r="R319" s="15" t="s">
        <v>539</v>
      </c>
      <c r="S319" s="14">
        <v>30</v>
      </c>
      <c r="T319" s="15" t="s">
        <v>54</v>
      </c>
      <c r="U319" s="14">
        <v>50</v>
      </c>
      <c r="V319" s="15" t="s">
        <v>540</v>
      </c>
      <c r="W319" s="14">
        <v>100</v>
      </c>
      <c r="X319" s="14" t="s">
        <v>552</v>
      </c>
      <c r="Y319" s="14">
        <v>5</v>
      </c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>
        <f t="shared" si="11"/>
        <v>615</v>
      </c>
      <c r="AW319" s="19"/>
      <c r="AX319" s="33"/>
      <c r="AY319" s="33"/>
      <c r="AZ319" s="33"/>
      <c r="BA319" s="33"/>
      <c r="BB319" s="33"/>
      <c r="BC319" s="33"/>
    </row>
    <row r="320" spans="1:55" ht="12.75" customHeight="1" x14ac:dyDescent="0.4">
      <c r="A320" s="29">
        <v>251</v>
      </c>
      <c r="B320" s="1" t="s">
        <v>592</v>
      </c>
      <c r="C320" s="1" t="s">
        <v>125</v>
      </c>
      <c r="D320" s="11">
        <f>K320+M320+O320+10</f>
        <v>37</v>
      </c>
      <c r="E320" s="12">
        <v>1</v>
      </c>
      <c r="F320" s="12" t="s">
        <v>50</v>
      </c>
      <c r="G320" s="11">
        <v>30</v>
      </c>
      <c r="H320" s="5" t="s">
        <v>126</v>
      </c>
      <c r="I320" s="13">
        <v>0.1</v>
      </c>
      <c r="J320" s="1" t="s">
        <v>52</v>
      </c>
      <c r="K320" s="11">
        <v>10</v>
      </c>
      <c r="L320" s="1" t="s">
        <v>84</v>
      </c>
      <c r="M320" s="11">
        <v>10</v>
      </c>
      <c r="N320" s="1" t="s">
        <v>83</v>
      </c>
      <c r="O320" s="11">
        <v>7</v>
      </c>
      <c r="P320" s="11" t="s">
        <v>173</v>
      </c>
      <c r="Q320" s="11">
        <v>5</v>
      </c>
      <c r="R320" s="11"/>
      <c r="S320" s="11"/>
      <c r="T320" s="11"/>
      <c r="U320" s="11"/>
      <c r="V320" s="11"/>
      <c r="W320" s="11"/>
      <c r="X320" s="11"/>
      <c r="Y320" s="11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5">
        <f t="shared" si="11"/>
        <v>32.1</v>
      </c>
      <c r="AW320" s="29"/>
      <c r="AX320" s="29"/>
      <c r="AY320" s="29"/>
      <c r="AZ320" s="29"/>
      <c r="BA320" s="29"/>
      <c r="BB320" s="29"/>
      <c r="BC320" s="29"/>
    </row>
    <row r="321" spans="1:55" ht="12.75" customHeight="1" x14ac:dyDescent="0.4">
      <c r="A321" s="29">
        <v>250</v>
      </c>
      <c r="B321" s="29" t="s">
        <v>593</v>
      </c>
      <c r="C321" s="29" t="s">
        <v>162</v>
      </c>
      <c r="D321" s="34"/>
      <c r="E321" s="35">
        <v>1</v>
      </c>
      <c r="F321" s="35" t="s">
        <v>50</v>
      </c>
      <c r="G321" s="34"/>
      <c r="I321" s="36"/>
      <c r="J321" s="29"/>
      <c r="K321" s="34"/>
      <c r="L321" s="29"/>
      <c r="M321" s="34"/>
      <c r="N321" s="29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5">
        <f t="shared" si="11"/>
        <v>0</v>
      </c>
      <c r="AW321" s="29"/>
      <c r="AX321" s="29"/>
      <c r="AY321" s="29"/>
      <c r="AZ321" s="29"/>
      <c r="BA321" s="29"/>
      <c r="BB321" s="29"/>
      <c r="BC321" s="29"/>
    </row>
    <row r="322" spans="1:55" ht="25.5" customHeight="1" x14ac:dyDescent="0.4">
      <c r="A322" s="6">
        <v>248</v>
      </c>
      <c r="B322" s="7" t="s">
        <v>594</v>
      </c>
      <c r="C322" s="7" t="s">
        <v>451</v>
      </c>
      <c r="D322" s="8"/>
      <c r="E322" s="9">
        <v>1</v>
      </c>
      <c r="F322" s="9" t="s">
        <v>50</v>
      </c>
      <c r="G322" s="6">
        <v>1</v>
      </c>
      <c r="I322" s="10"/>
      <c r="J322" s="7"/>
      <c r="K322" s="8"/>
      <c r="L322" s="7"/>
      <c r="M322" s="8"/>
      <c r="N322" s="7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>
        <f t="shared" si="11"/>
        <v>0</v>
      </c>
    </row>
    <row r="323" spans="1:55" ht="25.5" customHeight="1" x14ac:dyDescent="0.4">
      <c r="A323" s="14">
        <v>693</v>
      </c>
      <c r="B323" s="15" t="s">
        <v>595</v>
      </c>
      <c r="C323" s="15" t="s">
        <v>68</v>
      </c>
      <c r="D323" s="14">
        <f>K323+M323+O323+20</f>
        <v>85</v>
      </c>
      <c r="E323" s="16">
        <v>1</v>
      </c>
      <c r="F323" s="16" t="s">
        <v>50</v>
      </c>
      <c r="G323" s="14">
        <v>9</v>
      </c>
      <c r="H323" s="5" t="s">
        <v>62</v>
      </c>
      <c r="I323" s="22">
        <v>0.1</v>
      </c>
      <c r="J323" s="15" t="s">
        <v>52</v>
      </c>
      <c r="K323" s="14">
        <v>20</v>
      </c>
      <c r="L323" s="15" t="s">
        <v>96</v>
      </c>
      <c r="M323" s="14">
        <v>25</v>
      </c>
      <c r="N323" s="15" t="s">
        <v>157</v>
      </c>
      <c r="O323" s="14">
        <v>20</v>
      </c>
      <c r="P323" s="14" t="s">
        <v>66</v>
      </c>
      <c r="Q323" s="14">
        <v>5</v>
      </c>
      <c r="R323" s="14" t="s">
        <v>72</v>
      </c>
      <c r="S323" s="14">
        <v>3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>
        <f t="shared" si="11"/>
        <v>73.099999999999994</v>
      </c>
    </row>
    <row r="324" spans="1:55" ht="12.75" customHeight="1" x14ac:dyDescent="0.4">
      <c r="A324" s="14">
        <v>246</v>
      </c>
      <c r="B324" s="15" t="s">
        <v>596</v>
      </c>
      <c r="C324" s="15" t="s">
        <v>49</v>
      </c>
      <c r="D324" s="14">
        <f>K324+M324+O324</f>
        <v>50</v>
      </c>
      <c r="E324" s="16">
        <v>1</v>
      </c>
      <c r="F324" s="16" t="s">
        <v>50</v>
      </c>
      <c r="G324" s="14">
        <v>24</v>
      </c>
      <c r="I324" s="17"/>
      <c r="J324" s="15" t="s">
        <v>597</v>
      </c>
      <c r="K324" s="14">
        <v>10</v>
      </c>
      <c r="L324" s="15" t="s">
        <v>598</v>
      </c>
      <c r="M324" s="14">
        <v>30</v>
      </c>
      <c r="N324" s="15" t="s">
        <v>229</v>
      </c>
      <c r="O324" s="14">
        <v>10</v>
      </c>
      <c r="P324" s="15" t="s">
        <v>66</v>
      </c>
      <c r="Q324" s="14">
        <v>5</v>
      </c>
      <c r="R324" s="14" t="s">
        <v>109</v>
      </c>
      <c r="S324" s="14"/>
      <c r="T324" s="15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>
        <f t="shared" si="11"/>
        <v>55</v>
      </c>
    </row>
    <row r="325" spans="1:55" ht="12.75" customHeight="1" x14ac:dyDescent="0.4">
      <c r="A325" s="14">
        <v>56</v>
      </c>
      <c r="B325" s="19" t="s">
        <v>599</v>
      </c>
      <c r="C325" s="15" t="s">
        <v>162</v>
      </c>
      <c r="D325" s="15">
        <f>M325+O325+Q325+S325+85</f>
        <v>320</v>
      </c>
      <c r="E325" s="31">
        <v>1</v>
      </c>
      <c r="F325" s="31" t="s">
        <v>50</v>
      </c>
      <c r="G325" s="15">
        <v>10</v>
      </c>
      <c r="H325" s="5" t="s">
        <v>291</v>
      </c>
      <c r="I325" s="32">
        <v>0.1</v>
      </c>
      <c r="J325" s="15"/>
      <c r="K325" s="15"/>
      <c r="L325" s="15" t="s">
        <v>297</v>
      </c>
      <c r="M325" s="15">
        <v>200</v>
      </c>
      <c r="N325" s="15" t="s">
        <v>282</v>
      </c>
      <c r="O325" s="15"/>
      <c r="P325" s="15" t="s">
        <v>128</v>
      </c>
      <c r="Q325" s="15">
        <v>10</v>
      </c>
      <c r="R325" s="15" t="s">
        <v>219</v>
      </c>
      <c r="S325" s="15">
        <v>25</v>
      </c>
      <c r="T325" s="15" t="s">
        <v>343</v>
      </c>
      <c r="U325" s="15"/>
      <c r="V325" s="15"/>
      <c r="W325" s="15"/>
      <c r="X325" s="15"/>
      <c r="Y325" s="15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>
        <f t="shared" si="11"/>
        <v>235.1</v>
      </c>
      <c r="AW325"/>
      <c r="AX325"/>
      <c r="AY325"/>
      <c r="AZ325"/>
      <c r="BA325"/>
      <c r="BB325"/>
      <c r="BC325"/>
    </row>
    <row r="326" spans="1:55" ht="25.5" customHeight="1" x14ac:dyDescent="0.4">
      <c r="A326" s="14">
        <v>727</v>
      </c>
      <c r="B326" s="19" t="s">
        <v>600</v>
      </c>
      <c r="C326" s="15" t="s">
        <v>162</v>
      </c>
      <c r="D326" s="15">
        <f>M326+O326+Q326+S326+85</f>
        <v>345</v>
      </c>
      <c r="E326" s="31">
        <v>1</v>
      </c>
      <c r="F326" s="31" t="s">
        <v>50</v>
      </c>
      <c r="G326" s="15">
        <v>10</v>
      </c>
      <c r="H326" s="5" t="s">
        <v>291</v>
      </c>
      <c r="I326" s="32">
        <v>0.1</v>
      </c>
      <c r="J326" s="15"/>
      <c r="K326" s="15"/>
      <c r="L326" s="15" t="s">
        <v>80</v>
      </c>
      <c r="M326" s="15">
        <v>200</v>
      </c>
      <c r="N326" s="15" t="s">
        <v>323</v>
      </c>
      <c r="O326" s="15">
        <v>25</v>
      </c>
      <c r="P326" s="15" t="s">
        <v>601</v>
      </c>
      <c r="Q326" s="15">
        <v>10</v>
      </c>
      <c r="R326" s="15" t="s">
        <v>219</v>
      </c>
      <c r="S326" s="15">
        <v>25</v>
      </c>
      <c r="T326" s="15" t="s">
        <v>343</v>
      </c>
      <c r="U326" s="15"/>
      <c r="V326" s="15"/>
      <c r="W326" s="15"/>
      <c r="X326" s="15"/>
      <c r="Y326" s="15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>
        <f t="shared" si="11"/>
        <v>260.10000000000002</v>
      </c>
      <c r="AW326" s="26"/>
      <c r="AX326" s="26"/>
      <c r="AY326" s="26"/>
      <c r="AZ326"/>
      <c r="BA326"/>
      <c r="BB326"/>
      <c r="BC326"/>
    </row>
    <row r="327" spans="1:55" ht="25.5" customHeight="1" x14ac:dyDescent="0.4">
      <c r="A327" s="20">
        <v>243</v>
      </c>
      <c r="B327" s="19" t="s">
        <v>602</v>
      </c>
      <c r="C327" s="15" t="s">
        <v>162</v>
      </c>
      <c r="D327" s="15">
        <f>M327+O327+Q327+S327+85</f>
        <v>525</v>
      </c>
      <c r="E327" s="31">
        <v>1</v>
      </c>
      <c r="F327" s="31" t="s">
        <v>50</v>
      </c>
      <c r="G327" s="15">
        <v>10</v>
      </c>
      <c r="H327" s="5" t="s">
        <v>291</v>
      </c>
      <c r="I327" s="32">
        <v>0.1</v>
      </c>
      <c r="J327" s="15"/>
      <c r="K327" s="15"/>
      <c r="L327" s="15" t="s">
        <v>603</v>
      </c>
      <c r="M327" s="15">
        <v>200</v>
      </c>
      <c r="N327" s="15" t="s">
        <v>604</v>
      </c>
      <c r="O327" s="15">
        <v>30</v>
      </c>
      <c r="P327" s="15" t="s">
        <v>219</v>
      </c>
      <c r="Q327" s="15">
        <v>200</v>
      </c>
      <c r="R327" s="15" t="s">
        <v>343</v>
      </c>
      <c r="S327" s="15">
        <v>10</v>
      </c>
      <c r="T327" s="15"/>
      <c r="U327" s="15"/>
      <c r="V327" s="15"/>
      <c r="W327" s="15"/>
      <c r="X327" s="15"/>
      <c r="Y327" s="15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>
        <f t="shared" si="11"/>
        <v>440.1</v>
      </c>
      <c r="AW327" s="20"/>
      <c r="AX327" s="20"/>
      <c r="AY327" s="20"/>
      <c r="AZ327" s="30"/>
      <c r="BA327" s="30"/>
      <c r="BB327" s="30"/>
      <c r="BC327" s="30"/>
    </row>
    <row r="328" spans="1:55" ht="25.5" customHeight="1" x14ac:dyDescent="0.4">
      <c r="A328" s="20">
        <v>242</v>
      </c>
      <c r="B328" s="15" t="s">
        <v>605</v>
      </c>
      <c r="C328" s="15" t="s">
        <v>125</v>
      </c>
      <c r="D328" s="14">
        <f>K328+M328+O328+10</f>
        <v>35</v>
      </c>
      <c r="E328" s="16">
        <v>1</v>
      </c>
      <c r="F328" s="16" t="s">
        <v>50</v>
      </c>
      <c r="G328" s="14">
        <v>30</v>
      </c>
      <c r="H328" s="5" t="s">
        <v>126</v>
      </c>
      <c r="I328" s="17">
        <v>0.1</v>
      </c>
      <c r="J328" s="15" t="s">
        <v>52</v>
      </c>
      <c r="K328" s="14">
        <v>10</v>
      </c>
      <c r="L328" s="15" t="s">
        <v>98</v>
      </c>
      <c r="M328" s="14">
        <v>10</v>
      </c>
      <c r="N328" s="15" t="s">
        <v>100</v>
      </c>
      <c r="O328" s="14">
        <v>5</v>
      </c>
      <c r="P328" s="14" t="s">
        <v>72</v>
      </c>
      <c r="Q328" s="14">
        <v>3</v>
      </c>
      <c r="R328" s="14"/>
      <c r="S328" s="14"/>
      <c r="T328" s="14"/>
      <c r="U328" s="14"/>
      <c r="V328" s="14"/>
      <c r="W328" s="14"/>
      <c r="X328" s="14"/>
      <c r="Y328" s="14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>
        <f t="shared" si="11"/>
        <v>28.1</v>
      </c>
      <c r="AW328" s="20"/>
      <c r="AX328" s="34"/>
      <c r="AY328" s="34"/>
      <c r="AZ328" s="34"/>
      <c r="BA328" s="34"/>
      <c r="BB328" s="34"/>
      <c r="BC328" s="34"/>
    </row>
    <row r="329" spans="1:55" ht="12.75" customHeight="1" x14ac:dyDescent="0.4">
      <c r="A329" s="34">
        <v>240</v>
      </c>
      <c r="B329" s="29" t="s">
        <v>606</v>
      </c>
      <c r="C329" s="29" t="s">
        <v>61</v>
      </c>
      <c r="D329" s="11">
        <f>K329+M329+Q329+S329+U329+O329+20</f>
        <v>110</v>
      </c>
      <c r="E329" s="35">
        <v>1</v>
      </c>
      <c r="F329" s="35" t="s">
        <v>50</v>
      </c>
      <c r="G329" s="34">
        <v>9</v>
      </c>
      <c r="H329" s="5" t="s">
        <v>62</v>
      </c>
      <c r="I329" s="36">
        <v>0.1</v>
      </c>
      <c r="J329" s="29"/>
      <c r="K329" s="34"/>
      <c r="L329" s="29" t="s">
        <v>272</v>
      </c>
      <c r="M329" s="34">
        <v>25</v>
      </c>
      <c r="N329" s="29" t="s">
        <v>98</v>
      </c>
      <c r="O329" s="34">
        <v>30</v>
      </c>
      <c r="P329" s="34" t="s">
        <v>261</v>
      </c>
      <c r="Q329" s="34">
        <v>20</v>
      </c>
      <c r="R329" s="34" t="s">
        <v>100</v>
      </c>
      <c r="S329" s="34">
        <v>10</v>
      </c>
      <c r="T329" s="34" t="s">
        <v>55</v>
      </c>
      <c r="U329" s="34">
        <v>5</v>
      </c>
      <c r="V329" s="34" t="s">
        <v>66</v>
      </c>
      <c r="W329" s="34"/>
      <c r="X329" s="34" t="s">
        <v>72</v>
      </c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5">
        <f t="shared" si="11"/>
        <v>90.1</v>
      </c>
      <c r="AW329" s="34"/>
      <c r="AX329" s="34"/>
      <c r="AY329" s="34"/>
      <c r="AZ329" s="34"/>
      <c r="BA329" s="34"/>
      <c r="BB329" s="34"/>
      <c r="BC329" s="34"/>
    </row>
    <row r="330" spans="1:55" ht="12.75" customHeight="1" x14ac:dyDescent="0.4">
      <c r="A330" s="11">
        <v>219</v>
      </c>
      <c r="B330" s="1" t="s">
        <v>607</v>
      </c>
      <c r="C330" s="1" t="s">
        <v>49</v>
      </c>
      <c r="D330" s="11">
        <f>M330+O330+Q330+S330</f>
        <v>60</v>
      </c>
      <c r="E330" s="12">
        <v>1</v>
      </c>
      <c r="F330" s="12" t="s">
        <v>50</v>
      </c>
      <c r="G330" s="11">
        <v>24</v>
      </c>
      <c r="I330" s="13"/>
      <c r="J330" s="1"/>
      <c r="K330" s="11"/>
      <c r="L330" s="1" t="s">
        <v>160</v>
      </c>
      <c r="M330" s="11">
        <v>25</v>
      </c>
      <c r="N330" s="1" t="s">
        <v>231</v>
      </c>
      <c r="O330" s="11">
        <v>10</v>
      </c>
      <c r="P330" s="1" t="s">
        <v>229</v>
      </c>
      <c r="Q330" s="11">
        <v>10</v>
      </c>
      <c r="R330" s="1" t="s">
        <v>82</v>
      </c>
      <c r="S330" s="11">
        <v>15</v>
      </c>
      <c r="T330" s="11" t="s">
        <v>226</v>
      </c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5">
        <f t="shared" si="11"/>
        <v>60</v>
      </c>
      <c r="AW330" s="11"/>
    </row>
    <row r="331" spans="1:55" ht="25.5" customHeight="1" x14ac:dyDescent="0.4">
      <c r="A331" s="6">
        <v>218</v>
      </c>
      <c r="B331" s="23" t="s">
        <v>608</v>
      </c>
      <c r="C331" s="23" t="s">
        <v>609</v>
      </c>
      <c r="D331" s="6">
        <v>1</v>
      </c>
      <c r="E331" s="24">
        <v>1</v>
      </c>
      <c r="F331" s="24" t="s">
        <v>50</v>
      </c>
      <c r="G331" s="6"/>
      <c r="H331" s="23" t="s">
        <v>608</v>
      </c>
      <c r="I331" s="25">
        <v>1</v>
      </c>
      <c r="J331" s="23"/>
      <c r="K331" s="6"/>
      <c r="M331" s="6"/>
      <c r="N331" s="23"/>
      <c r="O331" s="6"/>
      <c r="P331" s="23"/>
      <c r="Q331" s="6"/>
      <c r="R331" s="6"/>
      <c r="S331" s="6"/>
      <c r="T331" s="23"/>
      <c r="U331" s="6"/>
      <c r="V331" s="6"/>
      <c r="W331" s="6"/>
      <c r="X331" s="6"/>
      <c r="Y331" s="6"/>
      <c r="Z331" s="11"/>
      <c r="AA331" s="11"/>
      <c r="AB331" s="11"/>
      <c r="AC331" s="11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>
        <f t="shared" si="11"/>
        <v>1</v>
      </c>
    </row>
    <row r="332" spans="1:55" ht="25.5" customHeight="1" x14ac:dyDescent="0.4">
      <c r="A332" s="11">
        <v>217</v>
      </c>
      <c r="B332" s="1" t="s">
        <v>610</v>
      </c>
      <c r="C332" s="1" t="s">
        <v>245</v>
      </c>
      <c r="D332" s="11"/>
      <c r="E332" s="12">
        <v>1</v>
      </c>
      <c r="F332" s="12" t="s">
        <v>50</v>
      </c>
      <c r="G332" s="11">
        <v>1</v>
      </c>
      <c r="I332" s="13"/>
      <c r="J332" s="1"/>
      <c r="K332" s="11"/>
      <c r="L332" s="1"/>
      <c r="M332" s="11"/>
      <c r="N332" s="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5">
        <f t="shared" si="11"/>
        <v>0</v>
      </c>
    </row>
    <row r="333" spans="1:55" ht="25.5" customHeight="1" x14ac:dyDescent="0.4">
      <c r="A333" s="11">
        <v>194</v>
      </c>
      <c r="B333" s="1" t="s">
        <v>611</v>
      </c>
      <c r="C333" s="1" t="s">
        <v>49</v>
      </c>
      <c r="D333" s="11">
        <f>M333+O333+Q333+15</f>
        <v>50</v>
      </c>
      <c r="E333" s="12">
        <v>1</v>
      </c>
      <c r="F333" s="12" t="s">
        <v>50</v>
      </c>
      <c r="G333" s="11">
        <v>24</v>
      </c>
      <c r="H333" s="5" t="s">
        <v>321</v>
      </c>
      <c r="I333" s="13">
        <v>1</v>
      </c>
      <c r="J333" s="1"/>
      <c r="K333" s="1"/>
      <c r="L333" s="1" t="s">
        <v>82</v>
      </c>
      <c r="M333" s="11">
        <v>10</v>
      </c>
      <c r="N333" s="1" t="s">
        <v>127</v>
      </c>
      <c r="O333" s="11">
        <v>20</v>
      </c>
      <c r="P333" s="1" t="s">
        <v>128</v>
      </c>
      <c r="Q333" s="11">
        <v>5</v>
      </c>
      <c r="R333" s="1"/>
      <c r="S333" s="11"/>
      <c r="T333" s="11"/>
      <c r="U333" s="11"/>
      <c r="V333" s="11"/>
      <c r="W333" s="11"/>
      <c r="X333" s="11"/>
      <c r="Y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5">
        <f>SUM(I333,K333,M333,O333,Q333,S333,U333,W333,Y333,AA375,AC375,AE333,AG333,AI333,AK333,AM333,AO333,AQ333,AS333,AU333)</f>
        <v>486</v>
      </c>
    </row>
    <row r="334" spans="1:55" ht="25.5" customHeight="1" x14ac:dyDescent="0.4">
      <c r="A334" s="34">
        <v>167</v>
      </c>
      <c r="B334" s="1" t="s">
        <v>612</v>
      </c>
      <c r="C334" s="1" t="s">
        <v>162</v>
      </c>
      <c r="D334" s="11">
        <f>K334+12+M334</f>
        <v>42</v>
      </c>
      <c r="E334" s="12">
        <v>1</v>
      </c>
      <c r="F334" s="12" t="s">
        <v>50</v>
      </c>
      <c r="G334" s="11">
        <v>24</v>
      </c>
      <c r="H334" s="5" t="s">
        <v>214</v>
      </c>
      <c r="I334" s="13">
        <v>1</v>
      </c>
      <c r="J334" s="1" t="s">
        <v>166</v>
      </c>
      <c r="K334" s="11">
        <v>25</v>
      </c>
      <c r="L334" s="1" t="s">
        <v>216</v>
      </c>
      <c r="M334" s="11">
        <v>5</v>
      </c>
      <c r="N334" s="1" t="s">
        <v>167</v>
      </c>
      <c r="O334" s="11">
        <v>5</v>
      </c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5">
        <f t="shared" ref="AV334:AV360" si="12">SUM(I334,K334,M334,O334,Q334,S334,U334,W334,Y334,AA334,AC334,AE334,AG334,AI334,AK334,AM334,AO334,AQ334,AS334,AU334)</f>
        <v>36</v>
      </c>
      <c r="AW334" s="34"/>
      <c r="AX334" s="34"/>
      <c r="AY334" s="34"/>
      <c r="AZ334" s="34"/>
      <c r="BA334" s="34"/>
      <c r="BB334" s="34"/>
      <c r="BC334" s="34"/>
    </row>
    <row r="335" spans="1:55" ht="38.25" customHeight="1" x14ac:dyDescent="0.4">
      <c r="A335" s="34">
        <v>166</v>
      </c>
      <c r="B335" s="29" t="s">
        <v>613</v>
      </c>
      <c r="C335" s="29" t="s">
        <v>162</v>
      </c>
      <c r="D335" s="34"/>
      <c r="E335" s="35">
        <v>1</v>
      </c>
      <c r="F335" s="35" t="s">
        <v>50</v>
      </c>
      <c r="G335" s="34">
        <v>24</v>
      </c>
      <c r="H335" s="5" t="s">
        <v>214</v>
      </c>
      <c r="I335" s="13">
        <v>1</v>
      </c>
      <c r="J335" s="29" t="s">
        <v>614</v>
      </c>
      <c r="K335" s="34">
        <v>25</v>
      </c>
      <c r="L335" s="29" t="s">
        <v>571</v>
      </c>
      <c r="M335" s="34"/>
      <c r="N335" s="29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5">
        <f t="shared" si="12"/>
        <v>26</v>
      </c>
      <c r="AW335" s="34"/>
      <c r="AX335" s="34"/>
      <c r="AY335" s="34"/>
      <c r="AZ335" s="34"/>
      <c r="BA335" s="34"/>
      <c r="BB335" s="34"/>
      <c r="BC335" s="34"/>
    </row>
    <row r="336" spans="1:55" ht="38.25" customHeight="1" x14ac:dyDescent="0.4">
      <c r="A336" s="34">
        <v>165</v>
      </c>
      <c r="B336" s="1" t="s">
        <v>615</v>
      </c>
      <c r="C336" s="1" t="s">
        <v>162</v>
      </c>
      <c r="D336" s="11">
        <f>K336+12+M336</f>
        <v>42</v>
      </c>
      <c r="E336" s="12">
        <v>1</v>
      </c>
      <c r="F336" s="12" t="s">
        <v>50</v>
      </c>
      <c r="G336" s="11">
        <v>24</v>
      </c>
      <c r="H336" s="5" t="s">
        <v>214</v>
      </c>
      <c r="I336" s="13">
        <v>1</v>
      </c>
      <c r="J336" s="1" t="s">
        <v>202</v>
      </c>
      <c r="K336" s="11">
        <v>25</v>
      </c>
      <c r="L336" s="1" t="s">
        <v>128</v>
      </c>
      <c r="M336" s="11">
        <v>5</v>
      </c>
      <c r="N336" s="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5">
        <f t="shared" si="12"/>
        <v>31</v>
      </c>
      <c r="AW336" s="34"/>
      <c r="AX336" s="34"/>
      <c r="AY336" s="34"/>
      <c r="AZ336" s="34"/>
      <c r="BA336" s="34"/>
      <c r="BB336" s="34"/>
      <c r="BC336" s="34"/>
    </row>
    <row r="337" spans="1:55" ht="38.25" customHeight="1" x14ac:dyDescent="0.4">
      <c r="A337" s="11">
        <v>157</v>
      </c>
      <c r="B337" s="29" t="s">
        <v>616</v>
      </c>
      <c r="C337" s="29" t="s">
        <v>162</v>
      </c>
      <c r="D337" s="34"/>
      <c r="E337" s="35">
        <v>1</v>
      </c>
      <c r="F337" s="35" t="s">
        <v>50</v>
      </c>
      <c r="G337" s="34">
        <v>24</v>
      </c>
      <c r="H337" s="5" t="s">
        <v>214</v>
      </c>
      <c r="I337" s="13">
        <v>1</v>
      </c>
      <c r="J337" s="29" t="s">
        <v>617</v>
      </c>
      <c r="K337" s="34">
        <v>25</v>
      </c>
      <c r="L337" s="29" t="s">
        <v>618</v>
      </c>
      <c r="M337" s="34"/>
      <c r="N337" s="29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5">
        <f t="shared" si="12"/>
        <v>26</v>
      </c>
    </row>
    <row r="338" spans="1:55" ht="25.5" customHeight="1" x14ac:dyDescent="0.4">
      <c r="A338" s="11">
        <v>156</v>
      </c>
      <c r="B338" s="29" t="s">
        <v>619</v>
      </c>
      <c r="C338" s="29" t="s">
        <v>162</v>
      </c>
      <c r="D338" s="29"/>
      <c r="E338" s="74">
        <v>1</v>
      </c>
      <c r="F338" s="74" t="s">
        <v>50</v>
      </c>
      <c r="G338" s="29">
        <v>24</v>
      </c>
      <c r="H338" s="5" t="s">
        <v>214</v>
      </c>
      <c r="I338" s="13">
        <v>1</v>
      </c>
      <c r="J338" s="29" t="s">
        <v>620</v>
      </c>
      <c r="K338" s="29">
        <v>25</v>
      </c>
      <c r="L338" s="29" t="s">
        <v>571</v>
      </c>
      <c r="M338" s="29"/>
      <c r="N338" s="42" t="s">
        <v>227</v>
      </c>
      <c r="O338" s="29">
        <v>5</v>
      </c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5">
        <f t="shared" si="12"/>
        <v>31</v>
      </c>
      <c r="AW338" s="11"/>
    </row>
    <row r="339" spans="1:55" ht="25.5" customHeight="1" x14ac:dyDescent="0.4">
      <c r="A339" s="11">
        <v>155</v>
      </c>
      <c r="B339" s="1" t="s">
        <v>621</v>
      </c>
      <c r="C339" s="1" t="s">
        <v>162</v>
      </c>
      <c r="D339" s="11">
        <f>K339+M339+12</f>
        <v>57</v>
      </c>
      <c r="E339" s="12">
        <v>1</v>
      </c>
      <c r="F339" s="12" t="s">
        <v>50</v>
      </c>
      <c r="G339" s="11">
        <v>24</v>
      </c>
      <c r="H339" s="5" t="s">
        <v>214</v>
      </c>
      <c r="I339" s="13">
        <v>1</v>
      </c>
      <c r="J339" s="1"/>
      <c r="K339" s="11">
        <v>25</v>
      </c>
      <c r="L339" s="1" t="s">
        <v>166</v>
      </c>
      <c r="M339" s="11">
        <v>20</v>
      </c>
      <c r="N339" s="1" t="s">
        <v>216</v>
      </c>
      <c r="O339" s="11">
        <v>5</v>
      </c>
      <c r="P339" s="1"/>
      <c r="Q339" s="11"/>
      <c r="R339" s="11"/>
      <c r="S339" s="11"/>
      <c r="T339" s="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5">
        <f t="shared" si="12"/>
        <v>51</v>
      </c>
    </row>
    <row r="340" spans="1:55" ht="25.5" customHeight="1" x14ac:dyDescent="0.4">
      <c r="A340" s="29">
        <v>151</v>
      </c>
      <c r="B340" s="1" t="s">
        <v>622</v>
      </c>
      <c r="C340" s="1" t="s">
        <v>162</v>
      </c>
      <c r="D340" s="11">
        <f>K340+M340+12</f>
        <v>42</v>
      </c>
      <c r="E340" s="12">
        <v>1</v>
      </c>
      <c r="F340" s="12" t="s">
        <v>50</v>
      </c>
      <c r="G340" s="11">
        <v>24</v>
      </c>
      <c r="H340" s="5" t="s">
        <v>214</v>
      </c>
      <c r="I340" s="13">
        <v>1</v>
      </c>
      <c r="J340" s="1" t="s">
        <v>164</v>
      </c>
      <c r="K340" s="11">
        <v>25</v>
      </c>
      <c r="L340" s="1" t="s">
        <v>336</v>
      </c>
      <c r="M340" s="11">
        <v>5</v>
      </c>
      <c r="N340" s="1"/>
      <c r="O340" s="11"/>
      <c r="P340" s="1"/>
      <c r="Q340" s="11"/>
      <c r="R340" s="11"/>
      <c r="S340" s="11"/>
      <c r="T340" s="1"/>
      <c r="U340" s="11"/>
      <c r="V340" s="11"/>
      <c r="W340" s="11"/>
      <c r="X340" s="11"/>
      <c r="Y340" s="11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5">
        <f t="shared" si="12"/>
        <v>31</v>
      </c>
      <c r="AW340" s="29"/>
      <c r="AX340" s="29"/>
      <c r="AY340" s="29"/>
      <c r="AZ340" s="29"/>
      <c r="BA340" s="29"/>
      <c r="BB340" s="29"/>
      <c r="BC340" s="29"/>
    </row>
    <row r="341" spans="1:55" ht="25.5" customHeight="1" x14ac:dyDescent="0.4">
      <c r="A341" s="29">
        <v>151</v>
      </c>
      <c r="B341" s="29" t="s">
        <v>623</v>
      </c>
      <c r="C341" s="29" t="s">
        <v>162</v>
      </c>
      <c r="D341" s="34"/>
      <c r="E341" s="35">
        <v>1</v>
      </c>
      <c r="F341" s="35" t="s">
        <v>50</v>
      </c>
      <c r="G341" s="34">
        <v>24</v>
      </c>
      <c r="H341" s="5" t="s">
        <v>214</v>
      </c>
      <c r="I341" s="13">
        <v>1</v>
      </c>
      <c r="J341" s="29" t="s">
        <v>624</v>
      </c>
      <c r="K341" s="34">
        <v>25</v>
      </c>
      <c r="L341" s="55" t="s">
        <v>336</v>
      </c>
      <c r="M341" s="34">
        <v>5</v>
      </c>
      <c r="N341" s="29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5">
        <f t="shared" si="12"/>
        <v>31</v>
      </c>
      <c r="AW341" s="29"/>
      <c r="AX341" s="29"/>
      <c r="AY341" s="29"/>
      <c r="AZ341" s="29"/>
      <c r="BA341" s="29"/>
      <c r="BB341" s="29"/>
      <c r="BC341" s="29"/>
    </row>
    <row r="342" spans="1:55" ht="25.5" customHeight="1" x14ac:dyDescent="0.4">
      <c r="A342" s="11">
        <v>118</v>
      </c>
      <c r="B342" s="1" t="s">
        <v>625</v>
      </c>
      <c r="C342" s="1" t="s">
        <v>49</v>
      </c>
      <c r="D342" s="11">
        <f>K342+M342+O342+15</f>
        <v>45</v>
      </c>
      <c r="E342" s="12">
        <v>1</v>
      </c>
      <c r="F342" s="12" t="s">
        <v>50</v>
      </c>
      <c r="G342" s="11">
        <v>24</v>
      </c>
      <c r="H342" s="5" t="s">
        <v>321</v>
      </c>
      <c r="I342" s="13">
        <v>1</v>
      </c>
      <c r="J342" s="1" t="s">
        <v>225</v>
      </c>
      <c r="K342" s="11">
        <v>20</v>
      </c>
      <c r="L342" s="1" t="s">
        <v>144</v>
      </c>
      <c r="M342" s="11">
        <v>5</v>
      </c>
      <c r="N342" s="1" t="s">
        <v>227</v>
      </c>
      <c r="O342" s="11">
        <v>5</v>
      </c>
      <c r="P342" s="1" t="s">
        <v>226</v>
      </c>
      <c r="Q342" s="11"/>
      <c r="R342" s="11" t="s">
        <v>207</v>
      </c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5">
        <f t="shared" si="12"/>
        <v>31</v>
      </c>
    </row>
    <row r="343" spans="1:55" ht="25.5" customHeight="1" x14ac:dyDescent="0.4">
      <c r="A343" s="6">
        <v>116</v>
      </c>
      <c r="B343" s="23" t="s">
        <v>626</v>
      </c>
      <c r="C343" s="23" t="s">
        <v>49</v>
      </c>
      <c r="D343" s="6">
        <f>K343+M343+O343+15</f>
        <v>45</v>
      </c>
      <c r="E343" s="24">
        <v>1</v>
      </c>
      <c r="F343" s="24" t="s">
        <v>50</v>
      </c>
      <c r="G343" s="6">
        <v>24</v>
      </c>
      <c r="H343" s="5" t="s">
        <v>321</v>
      </c>
      <c r="I343" s="25">
        <v>1</v>
      </c>
      <c r="J343" s="23" t="s">
        <v>86</v>
      </c>
      <c r="K343" s="6">
        <v>10</v>
      </c>
      <c r="L343" s="23" t="s">
        <v>53</v>
      </c>
      <c r="M343" s="6">
        <v>15</v>
      </c>
      <c r="N343" s="23" t="s">
        <v>238</v>
      </c>
      <c r="O343" s="6">
        <v>5</v>
      </c>
      <c r="P343" s="23" t="s">
        <v>56</v>
      </c>
      <c r="Q343" s="6"/>
      <c r="R343" s="6" t="s">
        <v>87</v>
      </c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>
        <f t="shared" si="12"/>
        <v>31</v>
      </c>
    </row>
    <row r="344" spans="1:55" ht="25.5" customHeight="1" x14ac:dyDescent="0.4">
      <c r="A344" s="14">
        <v>114</v>
      </c>
      <c r="B344" s="15" t="s">
        <v>627</v>
      </c>
      <c r="C344" s="15" t="s">
        <v>162</v>
      </c>
      <c r="D344" s="14">
        <f>K344+12</f>
        <v>37</v>
      </c>
      <c r="E344" s="16">
        <v>1</v>
      </c>
      <c r="F344" s="16" t="s">
        <v>50</v>
      </c>
      <c r="G344" s="14">
        <v>24</v>
      </c>
      <c r="H344" s="5" t="s">
        <v>214</v>
      </c>
      <c r="I344" s="17">
        <v>1</v>
      </c>
      <c r="J344" s="15" t="s">
        <v>400</v>
      </c>
      <c r="K344" s="14">
        <v>25</v>
      </c>
      <c r="L344" s="15" t="s">
        <v>205</v>
      </c>
      <c r="M344" s="14">
        <v>5</v>
      </c>
      <c r="N344" s="15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>
        <f t="shared" si="12"/>
        <v>31</v>
      </c>
    </row>
    <row r="345" spans="1:55" ht="25.5" customHeight="1" x14ac:dyDescent="0.4">
      <c r="A345" s="11">
        <v>104</v>
      </c>
      <c r="B345" s="1" t="s">
        <v>628</v>
      </c>
      <c r="C345" s="1" t="s">
        <v>49</v>
      </c>
      <c r="D345" s="11">
        <f>M345+O345+Q345</f>
        <v>40</v>
      </c>
      <c r="E345" s="12">
        <v>1</v>
      </c>
      <c r="F345" s="12" t="s">
        <v>50</v>
      </c>
      <c r="G345" s="11">
        <v>24</v>
      </c>
      <c r="I345" s="13"/>
      <c r="J345" s="1"/>
      <c r="K345" s="11"/>
      <c r="L345" s="1" t="s">
        <v>63</v>
      </c>
      <c r="M345" s="11">
        <v>10</v>
      </c>
      <c r="N345" s="1" t="s">
        <v>90</v>
      </c>
      <c r="O345" s="11">
        <v>10</v>
      </c>
      <c r="P345" s="1" t="s">
        <v>89</v>
      </c>
      <c r="Q345" s="11">
        <v>20</v>
      </c>
      <c r="R345" s="11" t="s">
        <v>65</v>
      </c>
      <c r="S345" s="11"/>
      <c r="T345" s="11" t="s">
        <v>91</v>
      </c>
      <c r="U345" s="11"/>
      <c r="V345" s="11" t="s">
        <v>87</v>
      </c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5">
        <f t="shared" si="12"/>
        <v>40</v>
      </c>
    </row>
    <row r="346" spans="1:55" ht="25.5" customHeight="1" x14ac:dyDescent="0.4">
      <c r="A346" s="11">
        <v>103</v>
      </c>
      <c r="B346" s="29" t="s">
        <v>629</v>
      </c>
      <c r="C346" s="29" t="s">
        <v>49</v>
      </c>
      <c r="D346" s="34">
        <f>K346+M346+O346+20</f>
        <v>60</v>
      </c>
      <c r="E346" s="35">
        <v>1</v>
      </c>
      <c r="F346" s="35" t="s">
        <v>50</v>
      </c>
      <c r="G346" s="34">
        <v>24</v>
      </c>
      <c r="H346" s="5" t="s">
        <v>630</v>
      </c>
      <c r="I346" s="36">
        <v>0.5</v>
      </c>
      <c r="J346" s="29" t="s">
        <v>52</v>
      </c>
      <c r="K346" s="34">
        <v>15</v>
      </c>
      <c r="L346" s="29" t="s">
        <v>84</v>
      </c>
      <c r="M346" s="34">
        <v>10</v>
      </c>
      <c r="N346" s="29" t="s">
        <v>75</v>
      </c>
      <c r="O346" s="34">
        <v>15</v>
      </c>
      <c r="P346" s="29" t="s">
        <v>74</v>
      </c>
      <c r="Q346" s="34">
        <v>5</v>
      </c>
      <c r="R346" s="34" t="s">
        <v>76</v>
      </c>
      <c r="S346" s="34"/>
      <c r="T346" s="34"/>
      <c r="U346" s="34"/>
      <c r="V346" s="34"/>
      <c r="W346" s="34"/>
      <c r="X346" s="34"/>
      <c r="Y346" s="34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5">
        <f t="shared" si="12"/>
        <v>45.5</v>
      </c>
    </row>
    <row r="347" spans="1:55" ht="25.5" customHeight="1" x14ac:dyDescent="0.4">
      <c r="A347" s="11">
        <v>101</v>
      </c>
      <c r="B347" s="29" t="s">
        <v>631</v>
      </c>
      <c r="C347" s="29" t="s">
        <v>49</v>
      </c>
      <c r="D347" s="34">
        <f>K347+M347+O347+20</f>
        <v>60</v>
      </c>
      <c r="E347" s="35">
        <v>1</v>
      </c>
      <c r="F347" s="35" t="s">
        <v>50</v>
      </c>
      <c r="G347" s="34">
        <v>24</v>
      </c>
      <c r="H347" s="5" t="s">
        <v>630</v>
      </c>
      <c r="I347" s="36">
        <v>0.5</v>
      </c>
      <c r="J347" s="29" t="s">
        <v>52</v>
      </c>
      <c r="K347" s="34">
        <v>15</v>
      </c>
      <c r="L347" s="29" t="s">
        <v>237</v>
      </c>
      <c r="M347" s="34">
        <v>15</v>
      </c>
      <c r="N347" s="29" t="s">
        <v>64</v>
      </c>
      <c r="O347" s="34">
        <v>10</v>
      </c>
      <c r="P347" s="55" t="s">
        <v>66</v>
      </c>
      <c r="Q347" s="34"/>
      <c r="R347" s="34"/>
      <c r="S347" s="34"/>
      <c r="T347" s="34"/>
      <c r="U347" s="34"/>
      <c r="V347" s="34"/>
      <c r="W347" s="34"/>
      <c r="X347" s="34"/>
      <c r="Y347" s="34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5">
        <f t="shared" si="12"/>
        <v>40.5</v>
      </c>
    </row>
    <row r="348" spans="1:55" ht="25.5" customHeight="1" x14ac:dyDescent="0.4">
      <c r="A348" s="6">
        <v>99</v>
      </c>
      <c r="B348" s="7" t="s">
        <v>632</v>
      </c>
      <c r="C348" s="7" t="s">
        <v>49</v>
      </c>
      <c r="D348" s="8">
        <f>M348+O348+20+Q348+S348+K348</f>
        <v>60</v>
      </c>
      <c r="E348" s="9">
        <v>1</v>
      </c>
      <c r="F348" s="9" t="s">
        <v>50</v>
      </c>
      <c r="G348" s="8">
        <v>24</v>
      </c>
      <c r="H348" s="5" t="s">
        <v>630</v>
      </c>
      <c r="I348" s="10">
        <v>0.5</v>
      </c>
      <c r="J348" s="7" t="s">
        <v>70</v>
      </c>
      <c r="K348" s="8">
        <v>10</v>
      </c>
      <c r="L348" s="7" t="s">
        <v>143</v>
      </c>
      <c r="M348" s="8">
        <v>20</v>
      </c>
      <c r="N348" s="7" t="s">
        <v>64</v>
      </c>
      <c r="O348" s="8">
        <v>10</v>
      </c>
      <c r="P348" s="7" t="s">
        <v>66</v>
      </c>
      <c r="Q348" s="8"/>
      <c r="R348" s="8"/>
      <c r="S348" s="8"/>
      <c r="T348" s="8"/>
      <c r="U348" s="8"/>
      <c r="V348" s="8"/>
      <c r="W348" s="8"/>
      <c r="X348" s="8"/>
      <c r="Y348" s="8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>
        <f t="shared" si="12"/>
        <v>40.5</v>
      </c>
      <c r="AW348" s="39"/>
      <c r="AX348"/>
      <c r="AY348"/>
      <c r="AZ348"/>
      <c r="BA348"/>
      <c r="BB348"/>
      <c r="BC348"/>
    </row>
    <row r="349" spans="1:55" ht="25.5" customHeight="1" x14ac:dyDescent="0.4">
      <c r="A349" s="14">
        <v>98</v>
      </c>
      <c r="B349" s="19" t="s">
        <v>633</v>
      </c>
      <c r="C349" s="19" t="s">
        <v>49</v>
      </c>
      <c r="D349" s="20">
        <f>M349+O349+20+Q349+S349+K349</f>
        <v>55</v>
      </c>
      <c r="E349" s="21">
        <v>1</v>
      </c>
      <c r="F349" s="21" t="s">
        <v>50</v>
      </c>
      <c r="G349" s="20">
        <v>24</v>
      </c>
      <c r="H349" s="5" t="s">
        <v>630</v>
      </c>
      <c r="I349" s="22">
        <v>0.5</v>
      </c>
      <c r="J349" s="19" t="s">
        <v>52</v>
      </c>
      <c r="K349" s="20">
        <v>15</v>
      </c>
      <c r="L349" s="19" t="s">
        <v>89</v>
      </c>
      <c r="M349" s="20">
        <v>15</v>
      </c>
      <c r="N349" s="19" t="s">
        <v>90</v>
      </c>
      <c r="O349" s="20">
        <v>5</v>
      </c>
      <c r="P349" s="19" t="s">
        <v>91</v>
      </c>
      <c r="Q349" s="20"/>
      <c r="R349" s="20" t="s">
        <v>87</v>
      </c>
      <c r="S349" s="20"/>
      <c r="T349" s="20" t="s">
        <v>65</v>
      </c>
      <c r="U349" s="20"/>
      <c r="V349" s="20"/>
      <c r="W349" s="20"/>
      <c r="X349" s="20"/>
      <c r="Y349" s="20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>
        <f t="shared" si="12"/>
        <v>35.5</v>
      </c>
    </row>
    <row r="350" spans="1:55" ht="25.5" customHeight="1" x14ac:dyDescent="0.4">
      <c r="A350" s="15">
        <v>95</v>
      </c>
      <c r="B350" s="19" t="s">
        <v>634</v>
      </c>
      <c r="C350" s="19" t="s">
        <v>49</v>
      </c>
      <c r="D350" s="20">
        <f>K350+M350+O350+20</f>
        <v>65</v>
      </c>
      <c r="E350" s="21">
        <v>1</v>
      </c>
      <c r="F350" s="21" t="s">
        <v>50</v>
      </c>
      <c r="G350" s="20">
        <v>24</v>
      </c>
      <c r="H350" s="5" t="s">
        <v>630</v>
      </c>
      <c r="I350" s="22">
        <v>0.5</v>
      </c>
      <c r="J350" s="19" t="s">
        <v>52</v>
      </c>
      <c r="K350" s="20">
        <v>15</v>
      </c>
      <c r="L350" s="19" t="s">
        <v>84</v>
      </c>
      <c r="M350" s="20">
        <v>10</v>
      </c>
      <c r="N350" s="19" t="s">
        <v>83</v>
      </c>
      <c r="O350" s="20">
        <v>20</v>
      </c>
      <c r="P350" s="90" t="s">
        <v>72</v>
      </c>
      <c r="Q350" s="20">
        <v>3</v>
      </c>
      <c r="R350" s="20" t="s">
        <v>87</v>
      </c>
      <c r="S350" s="20"/>
      <c r="T350" s="20"/>
      <c r="U350" s="20"/>
      <c r="V350" s="20"/>
      <c r="W350" s="20"/>
      <c r="X350" s="20"/>
      <c r="Y350" s="20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>
        <f t="shared" si="12"/>
        <v>48.5</v>
      </c>
      <c r="AW350" s="1"/>
      <c r="AX350" s="1"/>
      <c r="AY350" s="1"/>
      <c r="AZ350" s="1"/>
      <c r="BA350" s="1"/>
      <c r="BB350" s="1"/>
      <c r="BC350" s="1"/>
    </row>
    <row r="351" spans="1:55" ht="12.75" customHeight="1" x14ac:dyDescent="0.4">
      <c r="A351" s="14">
        <v>92</v>
      </c>
      <c r="B351" s="91" t="s">
        <v>635</v>
      </c>
      <c r="C351" s="91" t="s">
        <v>49</v>
      </c>
      <c r="D351" s="57">
        <f>M351+O351+20+Q351+S351</f>
        <v>65</v>
      </c>
      <c r="E351" s="92">
        <v>1</v>
      </c>
      <c r="F351" s="92" t="s">
        <v>50</v>
      </c>
      <c r="G351" s="57">
        <v>24</v>
      </c>
      <c r="H351" s="5" t="s">
        <v>630</v>
      </c>
      <c r="I351" s="22">
        <v>0.5</v>
      </c>
      <c r="J351" s="91"/>
      <c r="K351" s="57"/>
      <c r="L351" s="91" t="s">
        <v>127</v>
      </c>
      <c r="M351" s="57">
        <v>15</v>
      </c>
      <c r="N351" s="91" t="s">
        <v>123</v>
      </c>
      <c r="O351" s="57">
        <v>5</v>
      </c>
      <c r="P351" s="93" t="s">
        <v>253</v>
      </c>
      <c r="Q351" s="57">
        <v>5</v>
      </c>
      <c r="R351" s="57" t="s">
        <v>96</v>
      </c>
      <c r="S351" s="57">
        <v>20</v>
      </c>
      <c r="T351" s="57" t="s">
        <v>264</v>
      </c>
      <c r="U351" s="57"/>
      <c r="V351" s="57" t="s">
        <v>87</v>
      </c>
      <c r="W351" s="57"/>
      <c r="X351" s="57"/>
      <c r="Y351" s="57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>
        <f t="shared" si="12"/>
        <v>45.5</v>
      </c>
    </row>
    <row r="352" spans="1:55" ht="25.5" customHeight="1" x14ac:dyDescent="0.4">
      <c r="A352" s="11">
        <v>91</v>
      </c>
      <c r="B352" s="29" t="s">
        <v>636</v>
      </c>
      <c r="C352" s="29" t="s">
        <v>49</v>
      </c>
      <c r="D352" s="34">
        <f>M352+O352+20+Q352+S352+K352</f>
        <v>65</v>
      </c>
      <c r="E352" s="35">
        <v>1</v>
      </c>
      <c r="F352" s="35" t="s">
        <v>50</v>
      </c>
      <c r="G352" s="34">
        <v>24</v>
      </c>
      <c r="H352" s="5" t="s">
        <v>630</v>
      </c>
      <c r="I352" s="36">
        <v>0.5</v>
      </c>
      <c r="J352" s="29" t="s">
        <v>52</v>
      </c>
      <c r="K352" s="34">
        <v>15</v>
      </c>
      <c r="L352" s="29" t="s">
        <v>98</v>
      </c>
      <c r="M352" s="34">
        <v>10</v>
      </c>
      <c r="N352" s="29" t="s">
        <v>96</v>
      </c>
      <c r="O352" s="34">
        <v>10</v>
      </c>
      <c r="P352" s="29" t="s">
        <v>64</v>
      </c>
      <c r="Q352" s="34">
        <v>10</v>
      </c>
      <c r="R352" s="34" t="s">
        <v>66</v>
      </c>
      <c r="S352" s="34"/>
      <c r="T352" s="34"/>
      <c r="U352" s="34"/>
      <c r="V352" s="34"/>
      <c r="W352" s="34"/>
      <c r="X352" s="34"/>
      <c r="Y352" s="34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5">
        <f t="shared" si="12"/>
        <v>45.5</v>
      </c>
    </row>
    <row r="353" spans="1:55" ht="12.75" customHeight="1" x14ac:dyDescent="0.4">
      <c r="A353" s="11">
        <v>90</v>
      </c>
      <c r="B353" s="1" t="s">
        <v>637</v>
      </c>
      <c r="C353" s="1" t="s">
        <v>49</v>
      </c>
      <c r="D353" s="11">
        <v>70</v>
      </c>
      <c r="E353" s="12">
        <v>1</v>
      </c>
      <c r="F353" s="12" t="s">
        <v>50</v>
      </c>
      <c r="G353" s="11">
        <v>24</v>
      </c>
      <c r="H353" s="5" t="s">
        <v>321</v>
      </c>
      <c r="I353" s="13"/>
      <c r="J353" s="1"/>
      <c r="K353" s="11"/>
      <c r="L353" s="1" t="s">
        <v>475</v>
      </c>
      <c r="M353" s="11">
        <v>50</v>
      </c>
      <c r="N353" s="1" t="s">
        <v>87</v>
      </c>
      <c r="O353" s="11"/>
      <c r="P353" s="1" t="s">
        <v>315</v>
      </c>
      <c r="Q353" s="11">
        <v>5</v>
      </c>
      <c r="R353" s="11"/>
      <c r="S353" s="11"/>
      <c r="T353" s="11" t="s">
        <v>316</v>
      </c>
      <c r="U353" s="11"/>
      <c r="V353" s="11" t="s">
        <v>232</v>
      </c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5">
        <f t="shared" si="12"/>
        <v>55</v>
      </c>
    </row>
    <row r="354" spans="1:55" ht="12.75" customHeight="1" x14ac:dyDescent="0.4">
      <c r="A354" s="6">
        <v>89</v>
      </c>
      <c r="B354" s="6" t="s">
        <v>638</v>
      </c>
      <c r="C354" s="23" t="s">
        <v>125</v>
      </c>
      <c r="D354" s="6">
        <f>K354+M354+10</f>
        <v>31</v>
      </c>
      <c r="E354" s="24">
        <v>1</v>
      </c>
      <c r="F354" s="24" t="s">
        <v>50</v>
      </c>
      <c r="G354" s="6">
        <v>30</v>
      </c>
      <c r="H354" s="5" t="s">
        <v>126</v>
      </c>
      <c r="I354" s="25">
        <v>0.1</v>
      </c>
      <c r="J354" s="23" t="s">
        <v>276</v>
      </c>
      <c r="K354" s="6">
        <v>20</v>
      </c>
      <c r="L354" s="23" t="s">
        <v>303</v>
      </c>
      <c r="M354" s="6">
        <v>1</v>
      </c>
      <c r="N354" s="23" t="s">
        <v>66</v>
      </c>
      <c r="O354" s="6">
        <v>5</v>
      </c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>
        <f t="shared" si="12"/>
        <v>26.1</v>
      </c>
      <c r="AW354" s="39"/>
      <c r="AX354" s="39"/>
      <c r="AY354" s="39"/>
      <c r="AZ354"/>
      <c r="BA354"/>
      <c r="BB354"/>
      <c r="BC354"/>
    </row>
    <row r="355" spans="1:55" ht="25.5" customHeight="1" x14ac:dyDescent="0.4">
      <c r="A355" s="14">
        <v>88</v>
      </c>
      <c r="B355" s="15" t="s">
        <v>639</v>
      </c>
      <c r="C355" s="15" t="s">
        <v>609</v>
      </c>
      <c r="D355" s="14">
        <v>1</v>
      </c>
      <c r="E355" s="16">
        <v>1</v>
      </c>
      <c r="F355" s="16" t="s">
        <v>50</v>
      </c>
      <c r="G355" s="14"/>
      <c r="H355" s="15" t="s">
        <v>639</v>
      </c>
      <c r="I355" s="17">
        <v>1</v>
      </c>
      <c r="J355" s="15"/>
      <c r="K355" s="14"/>
      <c r="M355" s="14"/>
      <c r="N355" s="15"/>
      <c r="O355" s="14"/>
      <c r="P355" s="15"/>
      <c r="Q355" s="14"/>
      <c r="R355" s="14"/>
      <c r="S355" s="14"/>
      <c r="T355" s="15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>
        <f t="shared" si="12"/>
        <v>1</v>
      </c>
      <c r="AW355" s="26"/>
      <c r="AX355" s="26"/>
      <c r="AY355" s="26"/>
      <c r="AZ355"/>
      <c r="BA355"/>
      <c r="BB355"/>
      <c r="BC355"/>
    </row>
    <row r="356" spans="1:55" ht="25.5" customHeight="1" x14ac:dyDescent="0.4">
      <c r="A356" s="20">
        <v>84</v>
      </c>
      <c r="B356" s="19" t="s">
        <v>640</v>
      </c>
      <c r="C356" s="19" t="s">
        <v>49</v>
      </c>
      <c r="D356" s="20"/>
      <c r="E356" s="21">
        <v>1</v>
      </c>
      <c r="F356" s="21" t="s">
        <v>50</v>
      </c>
      <c r="G356" s="20">
        <v>24</v>
      </c>
      <c r="I356" s="22">
        <v>0.1</v>
      </c>
      <c r="J356" s="19"/>
      <c r="K356" s="20"/>
      <c r="L356" s="19" t="s">
        <v>89</v>
      </c>
      <c r="M356" s="20">
        <v>15</v>
      </c>
      <c r="N356" s="19" t="s">
        <v>222</v>
      </c>
      <c r="O356" s="20">
        <v>15</v>
      </c>
      <c r="P356" s="19" t="s">
        <v>122</v>
      </c>
      <c r="Q356" s="20">
        <v>5</v>
      </c>
      <c r="R356" s="20" t="s">
        <v>91</v>
      </c>
      <c r="S356" s="20"/>
      <c r="T356" s="19" t="s">
        <v>87</v>
      </c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>
        <f t="shared" si="12"/>
        <v>35.1</v>
      </c>
      <c r="AW356" s="20"/>
      <c r="AX356" s="20"/>
      <c r="AY356" s="20"/>
      <c r="AZ356" s="30"/>
      <c r="BA356" s="30"/>
      <c r="BB356" s="30"/>
      <c r="BC356" s="30"/>
    </row>
    <row r="357" spans="1:55" ht="25.5" customHeight="1" x14ac:dyDescent="0.4">
      <c r="A357" s="20">
        <v>83</v>
      </c>
      <c r="B357" s="19" t="s">
        <v>641</v>
      </c>
      <c r="C357" s="19" t="s">
        <v>49</v>
      </c>
      <c r="D357" s="20">
        <f>K357+M357+Q357+S357</f>
        <v>35</v>
      </c>
      <c r="E357" s="21">
        <v>1</v>
      </c>
      <c r="F357" s="21" t="s">
        <v>50</v>
      </c>
      <c r="G357" s="20">
        <v>24</v>
      </c>
      <c r="I357" s="22">
        <v>0.1</v>
      </c>
      <c r="J357" s="19" t="s">
        <v>52</v>
      </c>
      <c r="K357" s="20">
        <v>10</v>
      </c>
      <c r="L357" s="19" t="s">
        <v>89</v>
      </c>
      <c r="M357" s="20">
        <v>15</v>
      </c>
      <c r="N357" s="19" t="s">
        <v>91</v>
      </c>
      <c r="O357" s="20"/>
      <c r="P357" s="19" t="s">
        <v>90</v>
      </c>
      <c r="Q357" s="20">
        <v>5</v>
      </c>
      <c r="R357" s="20" t="s">
        <v>65</v>
      </c>
      <c r="S357" s="20">
        <v>5</v>
      </c>
      <c r="T357" s="19" t="s">
        <v>87</v>
      </c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>
        <f t="shared" si="12"/>
        <v>35.1</v>
      </c>
      <c r="AW357" s="34"/>
      <c r="AX357" s="34"/>
      <c r="AY357" s="34"/>
      <c r="AZ357" s="34"/>
      <c r="BA357" s="34"/>
      <c r="BB357" s="34"/>
      <c r="BC357" s="34"/>
    </row>
    <row r="358" spans="1:55" ht="12.75" customHeight="1" x14ac:dyDescent="0.4">
      <c r="A358" s="34">
        <v>78</v>
      </c>
      <c r="B358" s="1" t="s">
        <v>642</v>
      </c>
      <c r="C358" s="1" t="s">
        <v>61</v>
      </c>
      <c r="D358" s="11">
        <f>K358+M358+O358+Q358+20</f>
        <v>76</v>
      </c>
      <c r="E358" s="12">
        <v>1</v>
      </c>
      <c r="F358" s="12" t="s">
        <v>50</v>
      </c>
      <c r="G358" s="11">
        <v>9</v>
      </c>
      <c r="H358" s="5" t="s">
        <v>62</v>
      </c>
      <c r="I358" s="36">
        <v>0.1</v>
      </c>
      <c r="J358" s="1" t="s">
        <v>52</v>
      </c>
      <c r="K358" s="11">
        <v>40</v>
      </c>
      <c r="L358" s="1" t="s">
        <v>261</v>
      </c>
      <c r="M358" s="11">
        <v>1</v>
      </c>
      <c r="N358" s="1" t="s">
        <v>148</v>
      </c>
      <c r="O358" s="11">
        <v>5</v>
      </c>
      <c r="P358" s="11" t="s">
        <v>123</v>
      </c>
      <c r="Q358" s="11">
        <v>10</v>
      </c>
      <c r="R358" s="11" t="s">
        <v>72</v>
      </c>
      <c r="S358" s="11">
        <v>3</v>
      </c>
      <c r="T358" s="11" t="s">
        <v>66</v>
      </c>
      <c r="U358" s="11"/>
      <c r="V358" s="11"/>
      <c r="W358" s="11"/>
      <c r="X358" s="11"/>
      <c r="Y358" s="11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5">
        <f t="shared" si="12"/>
        <v>59.1</v>
      </c>
      <c r="AW358" s="34"/>
      <c r="AX358" s="34"/>
      <c r="AY358" s="34"/>
      <c r="AZ358" s="34"/>
      <c r="BA358" s="34"/>
      <c r="BB358" s="34"/>
      <c r="BC358" s="34"/>
    </row>
    <row r="359" spans="1:55" ht="38.25" customHeight="1" x14ac:dyDescent="0.4">
      <c r="A359" s="6">
        <v>77</v>
      </c>
      <c r="B359" s="7" t="s">
        <v>643</v>
      </c>
      <c r="C359" s="7" t="s">
        <v>162</v>
      </c>
      <c r="D359" s="8">
        <f>M359+Q359+U359</f>
        <v>120</v>
      </c>
      <c r="E359" s="9">
        <v>1</v>
      </c>
      <c r="F359" s="9" t="s">
        <v>50</v>
      </c>
      <c r="G359" s="7">
        <v>11</v>
      </c>
      <c r="I359" s="10"/>
      <c r="J359" s="7"/>
      <c r="K359" s="39"/>
      <c r="L359" s="7" t="s">
        <v>222</v>
      </c>
      <c r="M359" s="7">
        <v>80</v>
      </c>
      <c r="N359" s="8" t="s">
        <v>644</v>
      </c>
      <c r="O359" s="7"/>
      <c r="P359" s="7" t="s">
        <v>258</v>
      </c>
      <c r="Q359" s="8">
        <v>20</v>
      </c>
      <c r="R359" s="8" t="s">
        <v>306</v>
      </c>
      <c r="S359" s="8"/>
      <c r="T359" s="8" t="s">
        <v>219</v>
      </c>
      <c r="U359" s="8">
        <v>20</v>
      </c>
      <c r="V359" s="8"/>
      <c r="W359" s="8"/>
      <c r="X359" s="8"/>
      <c r="Y359" s="8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>
        <f t="shared" si="12"/>
        <v>120</v>
      </c>
    </row>
    <row r="360" spans="1:55" ht="12.75" customHeight="1" x14ac:dyDescent="0.4">
      <c r="A360" s="34">
        <v>76</v>
      </c>
      <c r="B360" s="94" t="s">
        <v>645</v>
      </c>
      <c r="C360" s="1" t="s">
        <v>162</v>
      </c>
      <c r="D360" s="5">
        <v>150</v>
      </c>
      <c r="E360" s="12">
        <v>1</v>
      </c>
      <c r="F360" s="12"/>
      <c r="G360" s="5">
        <v>11</v>
      </c>
      <c r="J360" s="1"/>
      <c r="K360" s="5">
        <v>120</v>
      </c>
      <c r="L360" s="1" t="s">
        <v>400</v>
      </c>
      <c r="M360" s="5">
        <v>30</v>
      </c>
      <c r="N360" s="1" t="s">
        <v>646</v>
      </c>
      <c r="O360" s="5">
        <v>30</v>
      </c>
      <c r="P360" s="1"/>
      <c r="T360" s="1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5">
        <f t="shared" si="12"/>
        <v>180</v>
      </c>
      <c r="AW360" s="34"/>
      <c r="AX360" s="34"/>
      <c r="AY360" s="34"/>
      <c r="AZ360" s="34"/>
      <c r="BA360" s="34"/>
      <c r="BB360" s="34"/>
      <c r="BC360" s="34"/>
    </row>
    <row r="361" spans="1:55" ht="12.75" customHeight="1" x14ac:dyDescent="0.4">
      <c r="A361" s="11">
        <v>72</v>
      </c>
      <c r="B361" s="1" t="s">
        <v>647</v>
      </c>
      <c r="C361" s="1" t="s">
        <v>235</v>
      </c>
      <c r="D361" s="1" t="e">
        <f>M361+O361+Q361+S361+U361+W361+Y361+#REF!+#REF!+#REF!</f>
        <v>#REF!</v>
      </c>
      <c r="E361" s="12">
        <v>1</v>
      </c>
      <c r="F361" s="12" t="s">
        <v>50</v>
      </c>
      <c r="G361" s="1">
        <v>1</v>
      </c>
      <c r="I361" s="13"/>
      <c r="J361" s="1"/>
      <c r="K361" s="11"/>
      <c r="L361" s="1" t="s">
        <v>127</v>
      </c>
      <c r="M361" s="11">
        <v>100</v>
      </c>
      <c r="N361" s="1" t="s">
        <v>648</v>
      </c>
      <c r="O361" s="11">
        <v>100</v>
      </c>
      <c r="P361" s="1" t="s">
        <v>96</v>
      </c>
      <c r="Q361" s="11">
        <v>100</v>
      </c>
      <c r="R361" s="11" t="s">
        <v>79</v>
      </c>
      <c r="S361" s="11">
        <v>100</v>
      </c>
      <c r="T361" s="1" t="s">
        <v>649</v>
      </c>
      <c r="U361" s="11">
        <v>100</v>
      </c>
      <c r="V361" s="11" t="s">
        <v>650</v>
      </c>
      <c r="W361" s="11">
        <v>100</v>
      </c>
      <c r="X361" s="1" t="s">
        <v>82</v>
      </c>
      <c r="Y361" s="11">
        <v>50</v>
      </c>
      <c r="Z361" s="11" t="s">
        <v>249</v>
      </c>
      <c r="AA361" s="11"/>
      <c r="AB361" s="11" t="s">
        <v>87</v>
      </c>
      <c r="AC361" s="11"/>
      <c r="AD361" s="11" t="s">
        <v>646</v>
      </c>
      <c r="AE361" s="11">
        <v>100</v>
      </c>
      <c r="AF361" s="11" t="s">
        <v>429</v>
      </c>
      <c r="AG361" s="11">
        <v>100</v>
      </c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5" t="e">
        <f>SUM(I361,K361,M361,O361,Q361,S361,U361,W361,Y361,#REF!,#REF!,#REF!,#REF!,AI361,AK361,AM361,AO361,AQ361,AS361,AU361)</f>
        <v>#REF!</v>
      </c>
    </row>
    <row r="362" spans="1:55" ht="12.75" customHeight="1" x14ac:dyDescent="0.4">
      <c r="A362" s="1">
        <v>71</v>
      </c>
      <c r="B362" s="1" t="s">
        <v>651</v>
      </c>
      <c r="C362" s="1" t="s">
        <v>609</v>
      </c>
      <c r="D362" s="11">
        <v>1</v>
      </c>
      <c r="E362" s="12">
        <v>1</v>
      </c>
      <c r="F362" s="12" t="s">
        <v>50</v>
      </c>
      <c r="G362" s="11"/>
      <c r="H362" s="1" t="s">
        <v>651</v>
      </c>
      <c r="I362" s="13">
        <v>1</v>
      </c>
      <c r="J362" s="1"/>
      <c r="K362" s="11"/>
      <c r="M362" s="11"/>
      <c r="N362" s="1"/>
      <c r="O362" s="11"/>
      <c r="P362" s="1"/>
      <c r="Q362" s="11"/>
      <c r="R362" s="11"/>
      <c r="S362" s="11"/>
      <c r="T362" s="1"/>
      <c r="U362" s="11"/>
      <c r="V362" s="11"/>
      <c r="W362" s="11"/>
      <c r="X362" s="11"/>
      <c r="Y362" s="1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5">
        <f>SUM(I362,K362,M362,O362,Q362,S362,U362,W362,Y362,AA362,AC362,AE362,AG362,AI362,AK362,AM362,AO362,AQ362,AS362,AU362)</f>
        <v>1</v>
      </c>
      <c r="AW362" s="1"/>
      <c r="AX362" s="1"/>
      <c r="AY362" s="1"/>
      <c r="AZ362" s="1"/>
      <c r="BA362" s="1"/>
      <c r="BB362" s="1"/>
      <c r="BC362" s="1"/>
    </row>
    <row r="363" spans="1:55" ht="25.5" customHeight="1" x14ac:dyDescent="0.4">
      <c r="A363" s="1">
        <v>70</v>
      </c>
      <c r="B363" s="1" t="s">
        <v>652</v>
      </c>
      <c r="C363" s="1" t="s">
        <v>118</v>
      </c>
      <c r="D363" s="11">
        <f>M363+O363+U363</f>
        <v>86</v>
      </c>
      <c r="E363" s="12">
        <v>1</v>
      </c>
      <c r="F363" s="12" t="s">
        <v>50</v>
      </c>
      <c r="G363" s="11">
        <v>11</v>
      </c>
      <c r="H363" s="1" t="s">
        <v>192</v>
      </c>
      <c r="I363" s="13"/>
      <c r="J363" s="1"/>
      <c r="K363" s="11"/>
      <c r="M363" s="11">
        <v>68</v>
      </c>
      <c r="N363" s="1" t="s">
        <v>120</v>
      </c>
      <c r="O363" s="11">
        <f>80-M363</f>
        <v>12</v>
      </c>
      <c r="P363" s="11" t="s">
        <v>65</v>
      </c>
      <c r="Q363" s="11"/>
      <c r="R363" s="11" t="s">
        <v>172</v>
      </c>
      <c r="S363" s="11"/>
      <c r="T363" s="11" t="s">
        <v>157</v>
      </c>
      <c r="U363" s="11">
        <v>6</v>
      </c>
      <c r="V363" s="11" t="s">
        <v>66</v>
      </c>
      <c r="W363" s="11"/>
      <c r="X363" s="11"/>
      <c r="Y363" s="1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5">
        <f>SUM(I363,K363,M363,O363,Q363,S363,U363,W363,Y363,AA363,AC363,AE363,AG363,AI363,AK363,AM363,AO363,AQ363,AS363,AU363)</f>
        <v>86</v>
      </c>
      <c r="AW363" s="1"/>
      <c r="AX363" s="1"/>
      <c r="AY363" s="1"/>
      <c r="AZ363" s="1"/>
      <c r="BA363" s="1"/>
      <c r="BB363" s="1"/>
      <c r="BC363" s="1"/>
    </row>
    <row r="364" spans="1:55" ht="25.5" customHeight="1" x14ac:dyDescent="0.4">
      <c r="A364" s="11">
        <v>69</v>
      </c>
      <c r="B364" s="29" t="s">
        <v>653</v>
      </c>
      <c r="C364" s="29" t="s">
        <v>59</v>
      </c>
      <c r="D364" s="34">
        <v>1</v>
      </c>
      <c r="E364" s="35">
        <v>1</v>
      </c>
      <c r="F364" s="35" t="s">
        <v>50</v>
      </c>
      <c r="G364" s="34"/>
      <c r="H364" s="29" t="s">
        <v>653</v>
      </c>
      <c r="I364" s="36">
        <v>1</v>
      </c>
      <c r="J364" s="29"/>
      <c r="K364" s="34"/>
      <c r="M364" s="34"/>
      <c r="N364" s="29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5">
        <f>SUM(I364,K364,M364,O364,Q364,S364,U364,W364,Y364,AA374,AC374,AE374,AG364,AI364,AK364,AM364,AO364,AQ364,AS364,AU364)</f>
        <v>181</v>
      </c>
      <c r="AW364" s="11"/>
      <c r="AX364" s="11"/>
      <c r="AY364" s="11"/>
      <c r="AZ364" s="11"/>
      <c r="BA364" s="11"/>
      <c r="BB364" s="11"/>
      <c r="BC364" s="11"/>
    </row>
    <row r="365" spans="1:55" ht="25.5" customHeight="1" x14ac:dyDescent="0.4">
      <c r="A365" s="34">
        <v>63</v>
      </c>
      <c r="B365" s="29" t="s">
        <v>654</v>
      </c>
      <c r="C365" s="29" t="s">
        <v>162</v>
      </c>
      <c r="D365" s="29">
        <f>K365+M365+10</f>
        <v>40</v>
      </c>
      <c r="E365" s="74">
        <v>1</v>
      </c>
      <c r="F365" s="74" t="s">
        <v>50</v>
      </c>
      <c r="G365" s="29">
        <v>20</v>
      </c>
      <c r="H365" s="29" t="s">
        <v>655</v>
      </c>
      <c r="I365" s="86">
        <v>0.5</v>
      </c>
      <c r="J365" s="29" t="s">
        <v>166</v>
      </c>
      <c r="K365" s="29">
        <v>25</v>
      </c>
      <c r="L365" s="29" t="s">
        <v>216</v>
      </c>
      <c r="M365" s="29">
        <v>5</v>
      </c>
      <c r="N365" s="29" t="s">
        <v>167</v>
      </c>
      <c r="O365" s="29">
        <v>5</v>
      </c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5">
        <f t="shared" ref="AV365:AV370" si="13">SUM(I365,K365,M365,O365,Q365,S365,U365,W365,Y365,AA365,AC365,AE365,AG365,AI365,AK365,AM365,AO365,AQ365,AS365,AU365)</f>
        <v>35.5</v>
      </c>
      <c r="AW365" s="34"/>
      <c r="AX365" s="34"/>
      <c r="AY365" s="34"/>
      <c r="AZ365" s="34"/>
      <c r="BA365" s="34"/>
      <c r="BB365" s="34"/>
      <c r="BC365" s="34"/>
    </row>
    <row r="366" spans="1:55" ht="12.75" customHeight="1" x14ac:dyDescent="0.4">
      <c r="A366" s="34">
        <v>60</v>
      </c>
      <c r="B366" s="29" t="s">
        <v>656</v>
      </c>
      <c r="C366" s="29" t="s">
        <v>162</v>
      </c>
      <c r="D366" s="29">
        <f>K366+M366+10</f>
        <v>45</v>
      </c>
      <c r="E366" s="74">
        <v>1</v>
      </c>
      <c r="F366" s="74" t="s">
        <v>50</v>
      </c>
      <c r="G366" s="29">
        <v>20</v>
      </c>
      <c r="H366" s="29" t="s">
        <v>655</v>
      </c>
      <c r="I366" s="86">
        <v>0.5</v>
      </c>
      <c r="J366" s="29" t="s">
        <v>164</v>
      </c>
      <c r="K366" s="29">
        <v>25</v>
      </c>
      <c r="L366" s="29" t="s">
        <v>336</v>
      </c>
      <c r="M366" s="29">
        <v>10</v>
      </c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5">
        <f t="shared" si="13"/>
        <v>35.5</v>
      </c>
      <c r="AW366" s="34"/>
      <c r="AX366" s="34"/>
      <c r="AY366" s="34"/>
      <c r="AZ366" s="34"/>
      <c r="BA366" s="34"/>
      <c r="BB366" s="34"/>
      <c r="BC366" s="34"/>
    </row>
    <row r="367" spans="1:55" ht="12.75" customHeight="1" x14ac:dyDescent="0.4">
      <c r="A367" s="6">
        <v>59</v>
      </c>
      <c r="B367" s="7" t="s">
        <v>657</v>
      </c>
      <c r="C367" s="7" t="s">
        <v>162</v>
      </c>
      <c r="D367" s="7">
        <f>K367+M367+10</f>
        <v>35</v>
      </c>
      <c r="E367" s="37">
        <v>1</v>
      </c>
      <c r="F367" s="37" t="s">
        <v>50</v>
      </c>
      <c r="G367" s="7">
        <v>20</v>
      </c>
      <c r="H367" s="7" t="s">
        <v>655</v>
      </c>
      <c r="I367" s="38">
        <v>0.5</v>
      </c>
      <c r="J367" s="7" t="s">
        <v>284</v>
      </c>
      <c r="K367" s="7">
        <v>25</v>
      </c>
      <c r="L367" s="7" t="s">
        <v>285</v>
      </c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6"/>
      <c r="AA367" s="6"/>
      <c r="AB367" s="6"/>
      <c r="AC367" s="6"/>
      <c r="AD367" s="39"/>
      <c r="AE367" s="39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>
        <f t="shared" si="13"/>
        <v>25.5</v>
      </c>
    </row>
    <row r="368" spans="1:55" ht="12.75" customHeight="1" x14ac:dyDescent="0.4">
      <c r="A368" s="14">
        <v>56</v>
      </c>
      <c r="B368" s="19" t="s">
        <v>658</v>
      </c>
      <c r="C368" s="19" t="s">
        <v>162</v>
      </c>
      <c r="D368" s="19">
        <f>K368+M368+10</f>
        <v>35</v>
      </c>
      <c r="E368" s="40">
        <v>1</v>
      </c>
      <c r="F368" s="40" t="s">
        <v>50</v>
      </c>
      <c r="G368" s="19">
        <v>20</v>
      </c>
      <c r="H368" s="19" t="s">
        <v>655</v>
      </c>
      <c r="I368" s="41">
        <v>0.5</v>
      </c>
      <c r="J368" s="19" t="s">
        <v>339</v>
      </c>
      <c r="K368" s="19">
        <v>25</v>
      </c>
      <c r="L368" s="19" t="s">
        <v>340</v>
      </c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>
        <f t="shared" si="13"/>
        <v>25.5</v>
      </c>
    </row>
    <row r="369" spans="1:55" ht="25.5" customHeight="1" x14ac:dyDescent="0.4">
      <c r="A369" s="14">
        <v>40</v>
      </c>
      <c r="B369" s="15" t="s">
        <v>659</v>
      </c>
      <c r="C369" s="15" t="s">
        <v>118</v>
      </c>
      <c r="D369" s="15">
        <f>M369+O369+Q369</f>
        <v>1000</v>
      </c>
      <c r="E369" s="31">
        <v>1</v>
      </c>
      <c r="F369" s="31" t="s">
        <v>50</v>
      </c>
      <c r="G369" s="15">
        <v>1</v>
      </c>
      <c r="H369" s="15"/>
      <c r="I369" s="32"/>
      <c r="J369" s="15"/>
      <c r="K369" s="15"/>
      <c r="L369" s="15" t="s">
        <v>660</v>
      </c>
      <c r="M369" s="15">
        <v>650</v>
      </c>
      <c r="N369" s="15" t="s">
        <v>80</v>
      </c>
      <c r="O369" s="15">
        <v>250</v>
      </c>
      <c r="P369" s="15" t="s">
        <v>123</v>
      </c>
      <c r="Q369" s="15">
        <v>100</v>
      </c>
      <c r="R369" s="15" t="s">
        <v>65</v>
      </c>
      <c r="S369" s="15"/>
      <c r="T369" s="15" t="s">
        <v>128</v>
      </c>
      <c r="U369" s="15">
        <v>50</v>
      </c>
      <c r="V369" s="15"/>
      <c r="W369" s="15"/>
      <c r="X369" s="15"/>
      <c r="Y369" s="15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>
        <f t="shared" si="13"/>
        <v>1050</v>
      </c>
    </row>
    <row r="370" spans="1:55" ht="25.5" customHeight="1" x14ac:dyDescent="0.4">
      <c r="A370" s="95">
        <v>37</v>
      </c>
      <c r="B370" s="96" t="s">
        <v>661</v>
      </c>
      <c r="C370" s="96" t="s">
        <v>118</v>
      </c>
      <c r="D370" s="95">
        <f>M370+O370+Q370</f>
        <v>80</v>
      </c>
      <c r="E370" s="97">
        <v>1</v>
      </c>
      <c r="F370" s="97" t="s">
        <v>50</v>
      </c>
      <c r="G370" s="95">
        <v>11</v>
      </c>
      <c r="H370" s="96"/>
      <c r="I370" s="98"/>
      <c r="J370" s="96"/>
      <c r="K370" s="95"/>
      <c r="L370" s="96" t="s">
        <v>660</v>
      </c>
      <c r="M370" s="96">
        <v>52</v>
      </c>
      <c r="N370" s="96" t="s">
        <v>80</v>
      </c>
      <c r="O370" s="96">
        <v>20</v>
      </c>
      <c r="P370" s="96" t="s">
        <v>123</v>
      </c>
      <c r="Q370" s="96">
        <f>80-M370-O370</f>
        <v>8</v>
      </c>
      <c r="R370" s="96" t="s">
        <v>65</v>
      </c>
      <c r="S370" s="96"/>
      <c r="T370" s="96" t="s">
        <v>128</v>
      </c>
      <c r="U370" s="96">
        <v>5</v>
      </c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  <c r="AT370" s="95"/>
      <c r="AU370" s="95"/>
      <c r="AV370">
        <f t="shared" si="13"/>
        <v>85</v>
      </c>
      <c r="AW370"/>
      <c r="AX370"/>
      <c r="AY370"/>
      <c r="AZ370"/>
      <c r="BA370"/>
      <c r="BB370"/>
      <c r="BC370"/>
    </row>
    <row r="371" spans="1:55" ht="25.5" customHeight="1" x14ac:dyDescent="0.4">
      <c r="A371" s="11">
        <v>34</v>
      </c>
      <c r="B371" s="29" t="s">
        <v>662</v>
      </c>
      <c r="C371" s="29" t="s">
        <v>235</v>
      </c>
      <c r="D371" s="29">
        <v>1500</v>
      </c>
      <c r="E371" s="74">
        <v>1</v>
      </c>
      <c r="F371" s="74" t="s">
        <v>50</v>
      </c>
      <c r="G371" s="29">
        <v>1</v>
      </c>
      <c r="H371" s="29"/>
      <c r="I371" s="86"/>
      <c r="J371" s="29"/>
      <c r="K371" s="29"/>
      <c r="L371" s="29" t="s">
        <v>236</v>
      </c>
      <c r="M371" s="29">
        <v>150</v>
      </c>
      <c r="N371" s="29" t="s">
        <v>237</v>
      </c>
      <c r="O371" s="29">
        <v>150</v>
      </c>
      <c r="P371" s="29" t="s">
        <v>98</v>
      </c>
      <c r="Q371" s="29">
        <v>150</v>
      </c>
      <c r="R371" s="29" t="s">
        <v>111</v>
      </c>
      <c r="S371" s="29">
        <v>150</v>
      </c>
      <c r="T371" s="29" t="s">
        <v>127</v>
      </c>
      <c r="U371" s="29">
        <v>100</v>
      </c>
      <c r="V371" s="29" t="s">
        <v>96</v>
      </c>
      <c r="W371" s="29">
        <v>100</v>
      </c>
      <c r="X371" s="29" t="s">
        <v>79</v>
      </c>
      <c r="Y371" s="29">
        <v>100</v>
      </c>
      <c r="Z371" s="29" t="s">
        <v>650</v>
      </c>
      <c r="AA371" s="29">
        <v>100</v>
      </c>
      <c r="AB371" s="29" t="s">
        <v>649</v>
      </c>
      <c r="AC371" s="29">
        <v>100</v>
      </c>
      <c r="AD371" s="29" t="s">
        <v>82</v>
      </c>
      <c r="AE371" s="29">
        <v>50</v>
      </c>
      <c r="AF371" s="29" t="s">
        <v>100</v>
      </c>
      <c r="AG371" s="29">
        <v>50</v>
      </c>
      <c r="AH371" s="29" t="s">
        <v>147</v>
      </c>
      <c r="AI371" s="29">
        <v>70</v>
      </c>
      <c r="AJ371" s="29" t="s">
        <v>238</v>
      </c>
      <c r="AK371" s="29">
        <v>50</v>
      </c>
      <c r="AL371" s="29" t="s">
        <v>337</v>
      </c>
      <c r="AM371" s="29">
        <v>70</v>
      </c>
      <c r="AN371" s="29" t="s">
        <v>144</v>
      </c>
      <c r="AO371" s="29">
        <v>100</v>
      </c>
      <c r="AP371" s="29" t="s">
        <v>128</v>
      </c>
      <c r="AQ371" s="29">
        <v>50</v>
      </c>
      <c r="AR371" s="29" t="s">
        <v>72</v>
      </c>
      <c r="AS371" s="11"/>
      <c r="AT371" s="11"/>
      <c r="AU371" s="11"/>
      <c r="AV371" s="5" t="e">
        <f>SUM(I371,K371,M371,O371,Q371,S371,U371,W371,Y371,#REF!,#REF!,#REF!,#REF!,#REF!,#REF!,#REF!,#REF!,#REF!,AS371,AU371)</f>
        <v>#REF!</v>
      </c>
    </row>
    <row r="372" spans="1:55" ht="38.25" customHeight="1" x14ac:dyDescent="0.4">
      <c r="A372" s="23">
        <v>13</v>
      </c>
      <c r="B372" s="99" t="s">
        <v>663</v>
      </c>
      <c r="C372" s="7" t="s">
        <v>235</v>
      </c>
      <c r="D372" s="7">
        <f>K372+M372+O372+Q372+S372+U372+W372+Y372+AA372+AC372+AE372+AG372+AI372+AK372+250</f>
        <v>2790</v>
      </c>
      <c r="E372" s="37">
        <v>1</v>
      </c>
      <c r="F372" s="37" t="s">
        <v>50</v>
      </c>
      <c r="G372" s="7">
        <v>1</v>
      </c>
      <c r="H372" s="7" t="s">
        <v>126</v>
      </c>
      <c r="I372" s="38">
        <v>3</v>
      </c>
      <c r="J372" s="7" t="s">
        <v>86</v>
      </c>
      <c r="K372" s="7">
        <v>80</v>
      </c>
      <c r="L372" s="7" t="s">
        <v>329</v>
      </c>
      <c r="M372" s="7">
        <v>70</v>
      </c>
      <c r="N372" s="7" t="s">
        <v>74</v>
      </c>
      <c r="O372" s="7">
        <v>10</v>
      </c>
      <c r="P372" s="7" t="s">
        <v>123</v>
      </c>
      <c r="Q372" s="7">
        <v>70</v>
      </c>
      <c r="R372" s="7" t="s">
        <v>318</v>
      </c>
      <c r="S372" s="7">
        <v>10</v>
      </c>
      <c r="T372" s="7" t="s">
        <v>147</v>
      </c>
      <c r="U372" s="7">
        <v>100</v>
      </c>
      <c r="V372" s="7" t="s">
        <v>100</v>
      </c>
      <c r="W372" s="7">
        <v>150</v>
      </c>
      <c r="X372" s="7" t="s">
        <v>238</v>
      </c>
      <c r="Y372" s="7">
        <v>50</v>
      </c>
      <c r="Z372" s="23" t="s">
        <v>71</v>
      </c>
      <c r="AA372" s="23">
        <v>2000</v>
      </c>
      <c r="AB372" s="23"/>
      <c r="AC372" s="23"/>
      <c r="AD372" s="23"/>
      <c r="AE372" s="23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23"/>
      <c r="AT372" s="23"/>
      <c r="AU372" s="23"/>
      <c r="AV372">
        <f>SUM(I372,K372,M372,O372,Q372,S372,U372,W372,Y372,AA372,AC372,AE372,AG372,AI372,AK372,AM372,AO372,AQ372,AS372,AU372)</f>
        <v>2543</v>
      </c>
      <c r="AW372" s="18"/>
      <c r="AX372" s="18"/>
      <c r="AY372" s="18"/>
      <c r="AZ372" s="18"/>
      <c r="BA372" s="18"/>
      <c r="BB372" s="18"/>
      <c r="BC372" s="18"/>
    </row>
    <row r="373" spans="1:55" ht="25.5" customHeight="1" x14ac:dyDescent="0.4">
      <c r="A373">
        <v>745</v>
      </c>
      <c r="B373" s="33" t="s">
        <v>664</v>
      </c>
      <c r="C373" s="33" t="s">
        <v>235</v>
      </c>
      <c r="D373" s="33">
        <f>M373+O373+Q373+S373</f>
        <v>1750</v>
      </c>
      <c r="E373" s="75">
        <v>1</v>
      </c>
      <c r="F373" s="75" t="s">
        <v>50</v>
      </c>
      <c r="G373" s="33">
        <v>1</v>
      </c>
      <c r="H373" s="33"/>
      <c r="I373" s="81"/>
      <c r="J373" s="33"/>
      <c r="K373" s="33"/>
      <c r="L373" s="33" t="s">
        <v>93</v>
      </c>
      <c r="M373" s="33">
        <v>1500</v>
      </c>
      <c r="N373" s="19" t="s">
        <v>100</v>
      </c>
      <c r="O373" s="33">
        <v>100</v>
      </c>
      <c r="P373" s="33" t="s">
        <v>147</v>
      </c>
      <c r="Q373" s="33">
        <v>100</v>
      </c>
      <c r="R373" s="33" t="s">
        <v>238</v>
      </c>
      <c r="S373" s="33">
        <v>50</v>
      </c>
      <c r="T373" s="33" t="s">
        <v>109</v>
      </c>
      <c r="U373" s="33"/>
      <c r="V373" s="33" t="s">
        <v>72</v>
      </c>
      <c r="W373" s="33"/>
      <c r="X373" s="33" t="s">
        <v>87</v>
      </c>
      <c r="Y373" s="33"/>
      <c r="Z373" s="15"/>
      <c r="AA373" s="26"/>
      <c r="AB373" s="26"/>
      <c r="AC373" s="26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>
        <v>1000</v>
      </c>
    </row>
    <row r="374" spans="1:55" ht="25.5" customHeight="1" x14ac:dyDescent="0.4">
      <c r="A374" s="20"/>
      <c r="B374" s="15" t="s">
        <v>665</v>
      </c>
      <c r="C374" s="15" t="s">
        <v>235</v>
      </c>
      <c r="D374" s="14">
        <v>2000</v>
      </c>
      <c r="E374" s="16">
        <v>1</v>
      </c>
      <c r="F374" s="16" t="s">
        <v>50</v>
      </c>
      <c r="G374" s="14">
        <v>1</v>
      </c>
      <c r="H374" s="15"/>
      <c r="I374" s="17"/>
      <c r="J374" s="15"/>
      <c r="K374" s="15"/>
      <c r="L374" s="15" t="s">
        <v>82</v>
      </c>
      <c r="M374" s="14">
        <v>80</v>
      </c>
      <c r="N374" s="15" t="s">
        <v>96</v>
      </c>
      <c r="O374" s="14">
        <v>375</v>
      </c>
      <c r="P374" s="15" t="s">
        <v>79</v>
      </c>
      <c r="Q374" s="14">
        <v>375</v>
      </c>
      <c r="R374" s="14" t="s">
        <v>650</v>
      </c>
      <c r="S374" s="14">
        <v>375</v>
      </c>
      <c r="T374" s="14" t="s">
        <v>666</v>
      </c>
      <c r="U374" s="14">
        <v>300</v>
      </c>
      <c r="V374" s="15" t="s">
        <v>648</v>
      </c>
      <c r="W374" s="14">
        <v>375</v>
      </c>
      <c r="X374" s="14" t="s">
        <v>128</v>
      </c>
      <c r="Y374" s="14">
        <v>50</v>
      </c>
      <c r="Z374" s="14" t="s">
        <v>667</v>
      </c>
      <c r="AA374" s="14">
        <v>100</v>
      </c>
      <c r="AB374" s="14" t="s">
        <v>429</v>
      </c>
      <c r="AC374" s="14">
        <v>50</v>
      </c>
      <c r="AD374" s="15" t="s">
        <v>128</v>
      </c>
      <c r="AE374" s="14">
        <v>30</v>
      </c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0"/>
      <c r="AT374" s="20"/>
      <c r="AU374" s="20"/>
      <c r="AV374" t="e">
        <f>SUM(I374,K374,M374,O374,Q374,S374,U374,W374,Y374,#REF!,#REF!,#REF!,#REF!,#REF!,#REF!,#REF!,#REF!,#REF!,AS374,AU374)</f>
        <v>#REF!</v>
      </c>
      <c r="AW374" s="20"/>
      <c r="AX374" s="20"/>
      <c r="AY374" s="20"/>
      <c r="AZ374" s="30"/>
      <c r="BA374" s="30"/>
      <c r="BB374" s="30"/>
      <c r="BC374" s="30"/>
    </row>
    <row r="375" spans="1:55" ht="12.75" customHeight="1" x14ac:dyDescent="0.4">
      <c r="A375" s="11"/>
      <c r="B375" s="1" t="s">
        <v>668</v>
      </c>
      <c r="C375" s="1" t="s">
        <v>347</v>
      </c>
      <c r="D375" s="11">
        <v>1500</v>
      </c>
      <c r="E375" s="12">
        <v>1</v>
      </c>
      <c r="F375" s="12" t="s">
        <v>50</v>
      </c>
      <c r="G375" s="11">
        <v>1</v>
      </c>
      <c r="H375" s="1"/>
      <c r="I375" s="13"/>
      <c r="J375" s="1"/>
      <c r="K375" s="11"/>
      <c r="L375" s="1" t="s">
        <v>329</v>
      </c>
      <c r="M375" s="11">
        <v>70</v>
      </c>
      <c r="N375" s="1" t="s">
        <v>74</v>
      </c>
      <c r="O375" s="11">
        <v>10</v>
      </c>
      <c r="P375" s="1" t="s">
        <v>120</v>
      </c>
      <c r="Q375" s="11">
        <v>225</v>
      </c>
      <c r="R375" s="11" t="s">
        <v>660</v>
      </c>
      <c r="S375" s="11">
        <v>225</v>
      </c>
      <c r="T375" s="1" t="s">
        <v>55</v>
      </c>
      <c r="U375" s="11">
        <v>225</v>
      </c>
      <c r="V375" s="11" t="s">
        <v>669</v>
      </c>
      <c r="W375" s="11">
        <v>150</v>
      </c>
      <c r="X375" s="11" t="s">
        <v>266</v>
      </c>
      <c r="Y375" s="11">
        <v>225</v>
      </c>
      <c r="Z375" s="1" t="s">
        <v>90</v>
      </c>
      <c r="AA375" s="11">
        <v>225</v>
      </c>
      <c r="AB375" s="11" t="s">
        <v>157</v>
      </c>
      <c r="AC375" s="11">
        <v>225</v>
      </c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5" t="e">
        <f>SUM(I375,K375,M375,O375,Q375,S375,U375,W375,Y375,#REF!,#REF!,AE375,AG375,AI375,AK375,AM375,AO375,AQ375,AS375,AU375)</f>
        <v>#REF!</v>
      </c>
    </row>
    <row r="376" spans="1:55" ht="12.75" customHeight="1" x14ac:dyDescent="0.4">
      <c r="A376" s="34"/>
      <c r="B376" s="29" t="s">
        <v>670</v>
      </c>
      <c r="C376" s="7" t="s">
        <v>118</v>
      </c>
      <c r="D376" s="34">
        <f>M376+O376+Q376+S376+U376+W376+Y376</f>
        <v>85</v>
      </c>
      <c r="E376" s="35">
        <v>1</v>
      </c>
      <c r="F376" s="35" t="s">
        <v>50</v>
      </c>
      <c r="G376" s="34">
        <v>24</v>
      </c>
      <c r="H376" s="29"/>
      <c r="I376" s="36"/>
      <c r="J376" s="29"/>
      <c r="K376" s="34"/>
      <c r="L376" s="29" t="s">
        <v>329</v>
      </c>
      <c r="M376" s="34">
        <v>15</v>
      </c>
      <c r="N376" s="29" t="s">
        <v>74</v>
      </c>
      <c r="O376" s="34">
        <v>5</v>
      </c>
      <c r="P376" s="29" t="s">
        <v>90</v>
      </c>
      <c r="Q376" s="34">
        <v>10</v>
      </c>
      <c r="R376" s="34" t="s">
        <v>660</v>
      </c>
      <c r="S376" s="34">
        <v>15</v>
      </c>
      <c r="T376" s="29" t="s">
        <v>55</v>
      </c>
      <c r="U376" s="34">
        <v>15</v>
      </c>
      <c r="V376" s="34" t="s">
        <v>120</v>
      </c>
      <c r="W376" s="34">
        <v>10</v>
      </c>
      <c r="X376" s="34" t="s">
        <v>669</v>
      </c>
      <c r="Y376" s="34">
        <v>15</v>
      </c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5">
        <f>SUM(I376,K376,M376,O376,Q376,S376,U376,W376,Y376,AA376,AC376,AE376,AG376,AI376,AK376,AM376,AO376,AQ376,AS376,AU376)</f>
        <v>85</v>
      </c>
      <c r="AW376" s="34"/>
      <c r="AX376" s="34"/>
      <c r="AY376" s="34"/>
      <c r="AZ376" s="34"/>
      <c r="BA376" s="34"/>
      <c r="BB376" s="34"/>
      <c r="BC376" s="34"/>
    </row>
    <row r="377" spans="1:55" ht="12.75" customHeight="1" x14ac:dyDescent="0.4">
      <c r="B377" s="42" t="s">
        <v>671</v>
      </c>
      <c r="C377" s="45" t="s">
        <v>49</v>
      </c>
      <c r="D377" s="11">
        <f>M377+O377+Q377</f>
        <v>35</v>
      </c>
      <c r="E377" s="100">
        <v>1</v>
      </c>
      <c r="F377" s="100" t="s">
        <v>50</v>
      </c>
      <c r="G377" s="55">
        <v>24</v>
      </c>
      <c r="H377" s="42" t="s">
        <v>321</v>
      </c>
      <c r="I377" s="101">
        <v>1</v>
      </c>
      <c r="J377" s="42"/>
      <c r="K377" s="55"/>
      <c r="L377" s="55" t="s">
        <v>160</v>
      </c>
      <c r="M377" s="55">
        <v>20</v>
      </c>
      <c r="N377" s="55" t="s">
        <v>580</v>
      </c>
      <c r="O377" s="55">
        <v>15</v>
      </c>
      <c r="P377" s="55" t="s">
        <v>226</v>
      </c>
      <c r="Q377" s="55"/>
      <c r="R377" s="55" t="s">
        <v>66</v>
      </c>
      <c r="S377" s="55"/>
      <c r="T377" s="55"/>
      <c r="U377" s="55"/>
      <c r="V377" s="55"/>
      <c r="W377" s="55"/>
      <c r="X377" s="55"/>
      <c r="Y377" s="55"/>
      <c r="Z377" s="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</row>
    <row r="378" spans="1:55" ht="12.75" customHeight="1" x14ac:dyDescent="0.4">
      <c r="B378" s="1" t="s">
        <v>672</v>
      </c>
      <c r="C378" s="1"/>
      <c r="E378" s="12"/>
      <c r="F378" s="12"/>
      <c r="H378" s="1"/>
      <c r="J378" s="1"/>
      <c r="L378" s="1"/>
      <c r="N378" s="1"/>
      <c r="P378" s="1"/>
      <c r="T378" s="1"/>
      <c r="Z378" s="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</row>
    <row r="379" spans="1:55" ht="12.75" customHeight="1" x14ac:dyDescent="0.4">
      <c r="B379" s="1" t="s">
        <v>673</v>
      </c>
      <c r="C379" s="1"/>
      <c r="D379" s="5">
        <v>10</v>
      </c>
      <c r="E379" s="12">
        <v>1</v>
      </c>
      <c r="F379" s="12"/>
      <c r="G379" s="5">
        <v>24</v>
      </c>
      <c r="H379" s="1" t="s">
        <v>402</v>
      </c>
      <c r="I379" s="72">
        <v>1</v>
      </c>
      <c r="J379" s="1"/>
      <c r="L379" s="1"/>
      <c r="N379" s="1"/>
      <c r="P379" s="1"/>
      <c r="T379" s="1"/>
      <c r="Z379" s="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</row>
    <row r="380" spans="1:55" ht="12.75" customHeight="1" x14ac:dyDescent="0.4">
      <c r="B380" s="1"/>
      <c r="C380" s="1"/>
      <c r="D380" s="5">
        <v>45</v>
      </c>
      <c r="E380" s="12">
        <v>1</v>
      </c>
      <c r="F380" s="12"/>
      <c r="G380" s="5">
        <v>18</v>
      </c>
      <c r="H380" s="18" t="s">
        <v>383</v>
      </c>
      <c r="I380" s="72">
        <v>1</v>
      </c>
      <c r="J380" s="1" t="s">
        <v>164</v>
      </c>
      <c r="K380" s="5">
        <v>40</v>
      </c>
      <c r="L380" s="1" t="s">
        <v>336</v>
      </c>
      <c r="M380" s="5">
        <v>5</v>
      </c>
      <c r="N380" s="1"/>
      <c r="P380" s="1"/>
      <c r="T380" s="1"/>
      <c r="Z380" s="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</row>
    <row r="381" spans="1:55" ht="12.75" customHeight="1" x14ac:dyDescent="0.4">
      <c r="B381" s="1" t="s">
        <v>675</v>
      </c>
      <c r="C381" s="1" t="s">
        <v>676</v>
      </c>
      <c r="D381" s="5">
        <v>100</v>
      </c>
      <c r="E381" s="102"/>
      <c r="F381" s="102"/>
      <c r="G381" s="103"/>
      <c r="H381" s="1" t="s">
        <v>677</v>
      </c>
      <c r="I381" s="72">
        <v>0.1</v>
      </c>
      <c r="J381" s="1" t="s">
        <v>52</v>
      </c>
      <c r="K381" s="5">
        <v>30</v>
      </c>
      <c r="L381" s="1" t="s">
        <v>98</v>
      </c>
      <c r="M381" s="5">
        <v>30</v>
      </c>
      <c r="N381" s="1" t="s">
        <v>72</v>
      </c>
      <c r="O381" s="5">
        <v>5</v>
      </c>
      <c r="P381" s="1" t="s">
        <v>90</v>
      </c>
      <c r="Q381" s="5">
        <v>5</v>
      </c>
      <c r="R381" s="5" t="s">
        <v>66</v>
      </c>
      <c r="S381" s="5">
        <v>1</v>
      </c>
      <c r="T381" s="1"/>
      <c r="Z381" s="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</row>
    <row r="382" spans="1:55" ht="12.75" customHeight="1" x14ac:dyDescent="0.4">
      <c r="B382" s="1" t="s">
        <v>678</v>
      </c>
      <c r="C382" s="1" t="s">
        <v>676</v>
      </c>
      <c r="D382" s="5">
        <v>100</v>
      </c>
      <c r="E382" s="12"/>
      <c r="F382" s="12"/>
      <c r="H382" s="1" t="s">
        <v>677</v>
      </c>
      <c r="I382" s="72">
        <v>0.1</v>
      </c>
      <c r="J382" s="1" t="s">
        <v>52</v>
      </c>
      <c r="K382" s="5">
        <v>30</v>
      </c>
      <c r="L382" s="1" t="s">
        <v>53</v>
      </c>
      <c r="M382" s="5">
        <v>40</v>
      </c>
      <c r="N382" s="1" t="s">
        <v>489</v>
      </c>
      <c r="O382" s="5">
        <v>3</v>
      </c>
      <c r="P382" s="1" t="s">
        <v>86</v>
      </c>
      <c r="Q382" s="5">
        <v>5</v>
      </c>
      <c r="R382" s="5" t="s">
        <v>87</v>
      </c>
      <c r="S382" s="5">
        <v>1</v>
      </c>
      <c r="T382" s="1" t="s">
        <v>72</v>
      </c>
      <c r="U382" s="5">
        <v>5</v>
      </c>
      <c r="Z382" s="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</row>
    <row r="383" spans="1:55" ht="12.75" customHeight="1" x14ac:dyDescent="0.4">
      <c r="B383" s="1" t="s">
        <v>679</v>
      </c>
      <c r="C383" s="1" t="s">
        <v>676</v>
      </c>
      <c r="D383" s="5">
        <v>100</v>
      </c>
      <c r="E383" s="12"/>
      <c r="F383" s="12"/>
      <c r="H383" s="1" t="s">
        <v>677</v>
      </c>
      <c r="I383" s="72">
        <v>0.1</v>
      </c>
      <c r="J383" s="1" t="s">
        <v>52</v>
      </c>
      <c r="K383" s="5">
        <v>14</v>
      </c>
      <c r="L383" s="1" t="s">
        <v>75</v>
      </c>
      <c r="M383" s="5">
        <v>46</v>
      </c>
      <c r="N383" s="1" t="s">
        <v>123</v>
      </c>
      <c r="O383" s="5">
        <v>11</v>
      </c>
      <c r="P383" s="1" t="s">
        <v>173</v>
      </c>
      <c r="Q383" s="5">
        <v>1</v>
      </c>
      <c r="R383" s="5" t="s">
        <v>64</v>
      </c>
      <c r="S383" s="5">
        <v>10</v>
      </c>
      <c r="T383" s="1"/>
      <c r="Z383" s="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</row>
    <row r="384" spans="1:55" ht="12.75" customHeight="1" x14ac:dyDescent="0.4">
      <c r="B384" s="1" t="s">
        <v>680</v>
      </c>
      <c r="C384" s="1" t="s">
        <v>676</v>
      </c>
      <c r="D384" s="5">
        <v>100</v>
      </c>
      <c r="E384" s="12"/>
      <c r="F384" s="12"/>
      <c r="H384" s="1" t="s">
        <v>677</v>
      </c>
      <c r="I384" s="72">
        <v>0.1</v>
      </c>
      <c r="J384" s="1" t="s">
        <v>261</v>
      </c>
      <c r="K384" s="5">
        <v>30</v>
      </c>
      <c r="L384" s="1" t="s">
        <v>264</v>
      </c>
      <c r="M384" s="5">
        <v>5</v>
      </c>
      <c r="N384" s="1" t="s">
        <v>52</v>
      </c>
      <c r="O384" s="5">
        <v>8</v>
      </c>
      <c r="P384" s="1" t="s">
        <v>123</v>
      </c>
      <c r="Q384" s="5">
        <v>12</v>
      </c>
      <c r="T384" s="1"/>
      <c r="Z384" s="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</row>
    <row r="385" spans="2:47" ht="12.75" customHeight="1" x14ac:dyDescent="0.4">
      <c r="B385" s="1" t="s">
        <v>681</v>
      </c>
      <c r="C385" s="1"/>
      <c r="E385" s="12"/>
      <c r="F385" s="12"/>
      <c r="H385" s="1"/>
      <c r="J385" s="1" t="s">
        <v>160</v>
      </c>
      <c r="K385" s="5">
        <v>1000</v>
      </c>
      <c r="L385" s="1"/>
      <c r="N385" s="1"/>
      <c r="P385" s="1"/>
      <c r="T385" s="1"/>
      <c r="Z385" s="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</row>
    <row r="386" spans="2:47" ht="12.75" customHeight="1" x14ac:dyDescent="0.4">
      <c r="B386" s="1" t="s">
        <v>682</v>
      </c>
      <c r="C386" s="1"/>
      <c r="E386" s="12"/>
      <c r="F386" s="12"/>
      <c r="H386" s="1"/>
      <c r="J386" s="1" t="s">
        <v>261</v>
      </c>
      <c r="K386" s="5">
        <v>50</v>
      </c>
      <c r="L386" s="1"/>
      <c r="N386" s="1"/>
      <c r="P386" s="1"/>
      <c r="T386" s="1"/>
      <c r="Z386" s="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</row>
    <row r="387" spans="2:47" ht="12.75" customHeight="1" x14ac:dyDescent="0.4">
      <c r="B387" s="1" t="s">
        <v>683</v>
      </c>
      <c r="C387" s="1"/>
      <c r="E387" s="12"/>
      <c r="F387" s="12"/>
      <c r="H387" s="1"/>
      <c r="J387" s="1" t="s">
        <v>684</v>
      </c>
      <c r="K387" s="5">
        <v>1000</v>
      </c>
      <c r="L387" s="1"/>
      <c r="N387" s="1"/>
      <c r="P387" s="1"/>
      <c r="T387" s="1"/>
      <c r="Z387" s="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</row>
    <row r="388" spans="2:47" ht="12.75" customHeight="1" x14ac:dyDescent="0.4">
      <c r="B388" s="1" t="s">
        <v>685</v>
      </c>
      <c r="C388" s="1"/>
      <c r="D388" s="5">
        <v>45</v>
      </c>
      <c r="E388" s="12">
        <v>1</v>
      </c>
      <c r="F388" s="12"/>
      <c r="G388" s="5">
        <v>24</v>
      </c>
      <c r="H388" s="1"/>
      <c r="J388" s="1" t="s">
        <v>598</v>
      </c>
      <c r="K388" s="5">
        <v>15</v>
      </c>
      <c r="L388" s="1" t="s">
        <v>52</v>
      </c>
      <c r="M388" s="5">
        <v>15</v>
      </c>
      <c r="N388" s="1" t="s">
        <v>268</v>
      </c>
      <c r="O388" s="5">
        <v>15</v>
      </c>
      <c r="P388" s="1" t="s">
        <v>66</v>
      </c>
      <c r="Q388" s="5">
        <v>2</v>
      </c>
      <c r="T388" s="1"/>
      <c r="Z388" s="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</row>
    <row r="389" spans="2:47" ht="12.75" customHeight="1" x14ac:dyDescent="0.4">
      <c r="B389" s="1" t="s">
        <v>686</v>
      </c>
      <c r="C389" s="29" t="s">
        <v>162</v>
      </c>
      <c r="E389" s="12">
        <v>1</v>
      </c>
      <c r="F389" s="12"/>
      <c r="G389" s="5">
        <v>1</v>
      </c>
      <c r="H389" s="1"/>
      <c r="J389" s="1"/>
      <c r="L389" s="1" t="s">
        <v>687</v>
      </c>
      <c r="M389" s="5">
        <v>400</v>
      </c>
      <c r="N389" s="1" t="s">
        <v>219</v>
      </c>
      <c r="O389" s="5">
        <v>200</v>
      </c>
      <c r="P389" s="1" t="s">
        <v>688</v>
      </c>
      <c r="Q389" s="5">
        <v>1</v>
      </c>
      <c r="R389" s="5" t="s">
        <v>261</v>
      </c>
      <c r="S389" s="5">
        <v>100</v>
      </c>
      <c r="T389" s="1" t="s">
        <v>494</v>
      </c>
      <c r="U389" s="5">
        <v>150</v>
      </c>
      <c r="V389" s="5" t="s">
        <v>325</v>
      </c>
      <c r="W389" s="5">
        <v>250</v>
      </c>
      <c r="X389" s="5" t="s">
        <v>569</v>
      </c>
      <c r="Y389" s="5">
        <v>50</v>
      </c>
      <c r="Z389" s="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</row>
    <row r="390" spans="2:47" ht="12.75" customHeight="1" x14ac:dyDescent="0.4">
      <c r="B390" s="1" t="s">
        <v>689</v>
      </c>
      <c r="C390" s="29" t="s">
        <v>162</v>
      </c>
      <c r="E390" s="12">
        <v>1</v>
      </c>
      <c r="F390" s="12"/>
      <c r="G390" s="5">
        <v>1</v>
      </c>
      <c r="H390" s="1"/>
      <c r="J390" s="1"/>
      <c r="L390" s="1" t="s">
        <v>687</v>
      </c>
      <c r="M390" s="5">
        <v>400</v>
      </c>
      <c r="N390" s="1" t="s">
        <v>219</v>
      </c>
      <c r="O390" s="5">
        <v>200</v>
      </c>
      <c r="P390" s="1" t="s">
        <v>688</v>
      </c>
      <c r="Q390" s="5">
        <v>1</v>
      </c>
      <c r="R390" s="5" t="s">
        <v>261</v>
      </c>
      <c r="S390" s="5">
        <v>100</v>
      </c>
      <c r="T390" s="1" t="s">
        <v>494</v>
      </c>
      <c r="U390" s="5">
        <v>150</v>
      </c>
      <c r="V390" s="5" t="s">
        <v>325</v>
      </c>
      <c r="W390" s="5">
        <v>250</v>
      </c>
      <c r="Z390" s="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</row>
    <row r="391" spans="2:47" ht="12.75" customHeight="1" x14ac:dyDescent="0.4">
      <c r="B391" s="1" t="s">
        <v>690</v>
      </c>
      <c r="C391" s="29" t="s">
        <v>162</v>
      </c>
      <c r="E391" s="12">
        <v>1</v>
      </c>
      <c r="F391" s="12"/>
      <c r="G391" s="5">
        <v>1</v>
      </c>
      <c r="H391" s="1"/>
      <c r="J391" s="1"/>
      <c r="L391" s="1" t="s">
        <v>261</v>
      </c>
      <c r="M391" s="5">
        <v>200</v>
      </c>
      <c r="N391" s="1" t="s">
        <v>217</v>
      </c>
      <c r="O391" s="5">
        <v>250</v>
      </c>
      <c r="P391" s="1" t="s">
        <v>494</v>
      </c>
      <c r="Q391" s="5">
        <v>180</v>
      </c>
      <c r="R391" s="5" t="s">
        <v>324</v>
      </c>
      <c r="S391" s="5">
        <v>250</v>
      </c>
      <c r="T391" s="1" t="s">
        <v>219</v>
      </c>
      <c r="U391" s="5">
        <v>220</v>
      </c>
      <c r="V391" s="5" t="s">
        <v>167</v>
      </c>
      <c r="W391" s="5">
        <v>50</v>
      </c>
      <c r="X391" s="5" t="s">
        <v>688</v>
      </c>
      <c r="Y391" s="5">
        <v>1</v>
      </c>
      <c r="Z391" s="1" t="s">
        <v>691</v>
      </c>
      <c r="AA391" s="5">
        <v>2</v>
      </c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</row>
    <row r="392" spans="2:47" ht="12.75" customHeight="1" x14ac:dyDescent="0.4">
      <c r="B392" s="1"/>
      <c r="C392" s="29" t="s">
        <v>162</v>
      </c>
      <c r="D392" s="34">
        <f>K392+M392+20</f>
        <v>55</v>
      </c>
      <c r="E392" s="35">
        <v>1</v>
      </c>
      <c r="F392" s="35" t="s">
        <v>50</v>
      </c>
      <c r="G392" s="34">
        <v>24</v>
      </c>
      <c r="H392" s="5" t="s">
        <v>404</v>
      </c>
      <c r="I392" s="13">
        <v>2</v>
      </c>
      <c r="J392" s="29" t="s">
        <v>164</v>
      </c>
      <c r="K392" s="29">
        <v>25</v>
      </c>
      <c r="L392" s="29" t="s">
        <v>336</v>
      </c>
      <c r="M392" s="29">
        <v>10</v>
      </c>
      <c r="N392" s="29"/>
      <c r="O392" s="34"/>
      <c r="P392" s="29"/>
      <c r="Q392" s="34"/>
      <c r="R392" s="34"/>
      <c r="S392" s="34"/>
      <c r="T392" s="29"/>
      <c r="U392" s="34"/>
      <c r="V392" s="34"/>
      <c r="W392" s="34"/>
      <c r="X392" s="34"/>
      <c r="Y392" s="34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</row>
    <row r="393" spans="2:47" ht="12.75" customHeight="1" x14ac:dyDescent="0.4">
      <c r="B393" s="1"/>
      <c r="C393" s="1"/>
      <c r="E393" s="12"/>
      <c r="F393" s="12"/>
      <c r="H393" s="1"/>
      <c r="J393" s="1"/>
      <c r="L393" s="1"/>
      <c r="N393" s="1"/>
      <c r="P393" s="1"/>
      <c r="T393" s="1"/>
      <c r="Z393" s="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</row>
    <row r="394" spans="2:47" ht="12.75" customHeight="1" x14ac:dyDescent="0.4">
      <c r="B394" s="1"/>
      <c r="C394" s="1"/>
      <c r="E394" s="12"/>
      <c r="F394" s="12"/>
      <c r="H394" s="1"/>
      <c r="J394" s="1"/>
      <c r="L394" s="1"/>
      <c r="N394" s="1"/>
      <c r="P394" s="1"/>
      <c r="T394" s="1"/>
      <c r="Z394" s="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</row>
    <row r="395" spans="2:47" ht="12.75" customHeight="1" x14ac:dyDescent="0.4">
      <c r="B395" s="1"/>
      <c r="C395" s="1"/>
      <c r="E395" s="12"/>
      <c r="F395" s="12"/>
      <c r="H395" s="1"/>
      <c r="J395" s="1"/>
      <c r="L395" s="1"/>
      <c r="N395" s="1"/>
      <c r="P395" s="1"/>
      <c r="T395" s="1"/>
      <c r="Z395" s="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</row>
    <row r="396" spans="2:47" ht="12.75" customHeight="1" x14ac:dyDescent="0.4">
      <c r="B396" s="1"/>
      <c r="C396" s="1"/>
      <c r="E396" s="12"/>
      <c r="F396" s="12"/>
      <c r="H396" s="1"/>
      <c r="J396" s="1"/>
      <c r="L396" s="1"/>
      <c r="N396" s="1"/>
      <c r="P396" s="1"/>
      <c r="T396" s="1"/>
      <c r="Z396" s="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</row>
    <row r="397" spans="2:47" ht="12.75" customHeight="1" x14ac:dyDescent="0.4">
      <c r="B397" s="1"/>
      <c r="C397" s="1"/>
      <c r="E397" s="12"/>
      <c r="F397" s="12"/>
      <c r="H397" s="1"/>
      <c r="J397" s="1"/>
      <c r="L397" s="1"/>
      <c r="N397" s="1"/>
      <c r="P397" s="1"/>
      <c r="T397" s="1"/>
      <c r="Z397" s="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</row>
    <row r="398" spans="2:47" ht="12.75" customHeight="1" x14ac:dyDescent="0.4">
      <c r="B398" s="1"/>
      <c r="C398" s="1"/>
      <c r="E398" s="12"/>
      <c r="F398" s="12"/>
      <c r="H398" s="1"/>
      <c r="J398" s="1"/>
      <c r="L398" s="1"/>
      <c r="N398" s="1"/>
      <c r="P398" s="1"/>
      <c r="T398" s="1"/>
      <c r="Z398" s="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</row>
    <row r="399" spans="2:47" ht="12.75" customHeight="1" x14ac:dyDescent="0.4">
      <c r="B399" s="1"/>
      <c r="C399" s="1"/>
      <c r="E399" s="12"/>
      <c r="F399" s="12"/>
      <c r="H399" s="1"/>
      <c r="J399" s="1"/>
      <c r="L399" s="1"/>
      <c r="N399" s="1"/>
      <c r="P399" s="1"/>
      <c r="T399" s="1"/>
      <c r="Z399" s="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</row>
    <row r="400" spans="2:47" ht="12.75" customHeight="1" x14ac:dyDescent="0.4">
      <c r="B400" s="1"/>
      <c r="C400" s="1"/>
      <c r="E400" s="12"/>
      <c r="F400" s="12"/>
      <c r="H400" s="1"/>
      <c r="J400" s="1"/>
      <c r="L400" s="1"/>
      <c r="N400" s="1"/>
      <c r="P400" s="1"/>
      <c r="T400" s="1"/>
      <c r="Z400" s="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</row>
    <row r="401" spans="2:47" ht="12.75" customHeight="1" x14ac:dyDescent="0.4">
      <c r="B401" s="1"/>
      <c r="C401" s="1"/>
      <c r="E401" s="12"/>
      <c r="F401" s="12"/>
      <c r="H401" s="1"/>
      <c r="J401" s="1"/>
      <c r="L401" s="1"/>
      <c r="N401" s="1"/>
      <c r="P401" s="1"/>
      <c r="T401" s="1"/>
      <c r="Z401" s="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</row>
    <row r="402" spans="2:47" ht="12.75" customHeight="1" x14ac:dyDescent="0.4">
      <c r="B402" s="1"/>
      <c r="C402" s="1"/>
      <c r="E402" s="12"/>
      <c r="F402" s="12"/>
      <c r="H402" s="1"/>
      <c r="J402" s="1"/>
      <c r="L402" s="1"/>
      <c r="N402" s="1"/>
      <c r="P402" s="1"/>
      <c r="T402" s="1"/>
      <c r="Z402" s="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</row>
    <row r="403" spans="2:47" ht="12.75" customHeight="1" x14ac:dyDescent="0.4">
      <c r="B403" s="1"/>
      <c r="C403" s="1"/>
      <c r="E403" s="12"/>
      <c r="F403" s="12"/>
      <c r="H403" s="1"/>
      <c r="J403" s="1"/>
      <c r="L403" s="1"/>
      <c r="N403" s="1"/>
      <c r="P403" s="1"/>
      <c r="T403" s="1"/>
      <c r="Z403" s="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</row>
    <row r="404" spans="2:47" ht="12.75" customHeight="1" x14ac:dyDescent="0.4">
      <c r="B404" s="1"/>
      <c r="C404" s="1"/>
      <c r="E404" s="12"/>
      <c r="F404" s="12"/>
      <c r="H404" s="1"/>
      <c r="J404" s="1"/>
      <c r="L404" s="1"/>
      <c r="N404" s="1"/>
      <c r="P404" s="1"/>
      <c r="T404" s="1"/>
      <c r="Z404" s="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</row>
    <row r="405" spans="2:47" ht="12.75" customHeight="1" x14ac:dyDescent="0.4">
      <c r="B405" s="1"/>
      <c r="C405" s="1"/>
      <c r="E405" s="12"/>
      <c r="F405" s="12"/>
      <c r="H405" s="1"/>
      <c r="J405" s="1"/>
      <c r="L405" s="1"/>
      <c r="N405" s="1"/>
      <c r="P405" s="1"/>
      <c r="T405" s="1"/>
      <c r="Z405" s="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</row>
    <row r="406" spans="2:47" ht="12.75" customHeight="1" x14ac:dyDescent="0.4">
      <c r="B406" s="1"/>
      <c r="C406" s="1"/>
      <c r="E406" s="12"/>
      <c r="F406" s="12"/>
      <c r="H406" s="1"/>
      <c r="J406" s="1"/>
      <c r="L406" s="1"/>
      <c r="N406" s="1"/>
      <c r="P406" s="1"/>
      <c r="T406" s="1"/>
      <c r="Z406" s="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</row>
    <row r="407" spans="2:47" ht="12.75" customHeight="1" x14ac:dyDescent="0.4">
      <c r="B407" s="1"/>
      <c r="C407" s="1"/>
      <c r="E407" s="12"/>
      <c r="F407" s="12"/>
      <c r="H407" s="1"/>
      <c r="J407" s="1"/>
      <c r="L407" s="1"/>
      <c r="N407" s="1"/>
      <c r="P407" s="1"/>
      <c r="T407" s="1"/>
      <c r="Z407" s="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</row>
    <row r="408" spans="2:47" ht="12.75" customHeight="1" x14ac:dyDescent="0.4">
      <c r="B408" s="1"/>
      <c r="C408" s="1"/>
      <c r="E408" s="12"/>
      <c r="F408" s="12"/>
      <c r="H408" s="1"/>
      <c r="J408" s="1"/>
      <c r="L408" s="1"/>
      <c r="N408" s="1"/>
      <c r="P408" s="1"/>
      <c r="T408" s="1"/>
      <c r="Z408" s="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</row>
    <row r="409" spans="2:47" ht="12.75" customHeight="1" x14ac:dyDescent="0.4">
      <c r="B409" s="1"/>
      <c r="C409" s="1"/>
      <c r="E409" s="12"/>
      <c r="F409" s="12"/>
      <c r="H409" s="1"/>
      <c r="J409" s="1"/>
      <c r="L409" s="1"/>
      <c r="N409" s="1"/>
      <c r="P409" s="1"/>
      <c r="T409" s="1"/>
      <c r="Z409" s="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</row>
    <row r="410" spans="2:47" ht="12.75" customHeight="1" x14ac:dyDescent="0.4">
      <c r="B410" s="1"/>
      <c r="C410" s="1"/>
      <c r="E410" s="12"/>
      <c r="F410" s="12"/>
      <c r="H410" s="1"/>
      <c r="J410" s="1"/>
      <c r="L410" s="1"/>
      <c r="N410" s="1"/>
      <c r="P410" s="1"/>
      <c r="T410" s="1"/>
      <c r="Z410" s="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</row>
    <row r="411" spans="2:47" ht="12.75" customHeight="1" x14ac:dyDescent="0.4">
      <c r="B411" s="1"/>
      <c r="C411" s="1"/>
      <c r="E411" s="12"/>
      <c r="F411" s="12"/>
      <c r="H411" s="1"/>
      <c r="J411" s="1"/>
      <c r="L411" s="1"/>
      <c r="N411" s="1"/>
      <c r="P411" s="1"/>
      <c r="T411" s="1"/>
      <c r="Z411" s="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</row>
    <row r="412" spans="2:47" ht="12.75" customHeight="1" x14ac:dyDescent="0.4">
      <c r="B412" s="1"/>
      <c r="C412" s="1"/>
      <c r="E412" s="12"/>
      <c r="F412" s="12"/>
      <c r="H412" s="1"/>
      <c r="J412" s="1"/>
      <c r="L412" s="1"/>
      <c r="N412" s="1"/>
      <c r="P412" s="1"/>
      <c r="T412" s="1"/>
      <c r="Z412" s="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</row>
    <row r="413" spans="2:47" ht="12.75" customHeight="1" x14ac:dyDescent="0.4">
      <c r="B413" s="1"/>
      <c r="C413" s="1"/>
      <c r="E413" s="12"/>
      <c r="F413" s="12"/>
      <c r="H413" s="1"/>
      <c r="J413" s="1"/>
      <c r="L413" s="1"/>
      <c r="N413" s="1"/>
      <c r="P413" s="1"/>
      <c r="T413" s="1"/>
      <c r="Z413" s="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</row>
    <row r="414" spans="2:47" ht="12.75" customHeight="1" x14ac:dyDescent="0.4">
      <c r="B414" s="1"/>
      <c r="C414" s="1"/>
      <c r="E414" s="12"/>
      <c r="F414" s="12"/>
      <c r="H414" s="1"/>
      <c r="J414" s="1"/>
      <c r="L414" s="1"/>
      <c r="N414" s="1"/>
      <c r="P414" s="1"/>
      <c r="T414" s="1"/>
      <c r="Z414" s="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</row>
    <row r="415" spans="2:47" ht="12.75" customHeight="1" x14ac:dyDescent="0.4">
      <c r="B415" s="1"/>
      <c r="C415" s="1"/>
      <c r="E415" s="12"/>
      <c r="F415" s="12"/>
      <c r="H415" s="1"/>
      <c r="J415" s="1"/>
      <c r="L415" s="1"/>
      <c r="N415" s="1"/>
      <c r="P415" s="1"/>
      <c r="T415" s="1"/>
      <c r="Z415" s="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</row>
    <row r="416" spans="2:47" ht="12.75" customHeight="1" x14ac:dyDescent="0.4">
      <c r="B416" s="1"/>
      <c r="C416" s="1"/>
      <c r="E416" s="12"/>
      <c r="F416" s="12"/>
      <c r="H416" s="1"/>
      <c r="J416" s="1"/>
      <c r="L416" s="1"/>
      <c r="N416" s="1"/>
      <c r="P416" s="1"/>
      <c r="T416" s="1"/>
      <c r="Z416" s="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</row>
    <row r="417" spans="2:47" ht="12.75" customHeight="1" x14ac:dyDescent="0.4">
      <c r="B417" s="1"/>
      <c r="C417" s="1"/>
      <c r="E417" s="12"/>
      <c r="F417" s="12"/>
      <c r="H417" s="1"/>
      <c r="J417" s="1"/>
      <c r="L417" s="1"/>
      <c r="N417" s="1"/>
      <c r="P417" s="1"/>
      <c r="T417" s="1"/>
      <c r="Z417" s="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</row>
    <row r="418" spans="2:47" ht="12.75" customHeight="1" x14ac:dyDescent="0.4">
      <c r="B418" s="1"/>
      <c r="C418" s="1"/>
      <c r="E418" s="12"/>
      <c r="F418" s="12"/>
      <c r="H418" s="1"/>
      <c r="J418" s="1"/>
      <c r="L418" s="1"/>
      <c r="N418" s="1"/>
      <c r="P418" s="1"/>
      <c r="T418" s="1"/>
      <c r="Z418" s="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</row>
    <row r="419" spans="2:47" ht="12.75" customHeight="1" x14ac:dyDescent="0.4">
      <c r="B419" s="1"/>
      <c r="C419" s="1"/>
      <c r="E419" s="12"/>
      <c r="F419" s="12"/>
      <c r="H419" s="1"/>
      <c r="J419" s="1"/>
      <c r="L419" s="1"/>
      <c r="N419" s="1"/>
      <c r="P419" s="1"/>
      <c r="T419" s="1"/>
      <c r="Z419" s="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</row>
    <row r="420" spans="2:47" ht="12.75" customHeight="1" x14ac:dyDescent="0.4">
      <c r="B420" s="1"/>
      <c r="C420" s="1"/>
      <c r="E420" s="12"/>
      <c r="F420" s="12"/>
      <c r="H420" s="1"/>
      <c r="J420" s="1"/>
      <c r="L420" s="1"/>
      <c r="N420" s="1"/>
      <c r="P420" s="1"/>
      <c r="T420" s="1"/>
      <c r="Z420" s="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</row>
    <row r="421" spans="2:47" ht="12.75" customHeight="1" x14ac:dyDescent="0.4">
      <c r="B421" s="1"/>
      <c r="C421" s="1"/>
      <c r="E421" s="12"/>
      <c r="F421" s="12"/>
      <c r="H421" s="1"/>
      <c r="J421" s="1"/>
      <c r="L421" s="1"/>
      <c r="N421" s="1"/>
      <c r="P421" s="1"/>
      <c r="T421" s="1"/>
      <c r="Z421" s="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</row>
    <row r="422" spans="2:47" ht="12.75" customHeight="1" x14ac:dyDescent="0.4">
      <c r="B422" s="1"/>
      <c r="C422" s="1"/>
      <c r="E422" s="12"/>
      <c r="F422" s="12"/>
      <c r="H422" s="1"/>
      <c r="J422" s="1"/>
      <c r="L422" s="1"/>
      <c r="N422" s="1"/>
      <c r="P422" s="1"/>
      <c r="T422" s="1"/>
      <c r="Z422" s="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</row>
    <row r="423" spans="2:47" ht="12.75" customHeight="1" x14ac:dyDescent="0.4">
      <c r="B423" s="1"/>
      <c r="C423" s="1"/>
      <c r="E423" s="12"/>
      <c r="F423" s="12"/>
      <c r="H423" s="1"/>
      <c r="J423" s="1"/>
      <c r="L423" s="1"/>
      <c r="N423" s="1"/>
      <c r="P423" s="1"/>
      <c r="T423" s="1"/>
      <c r="Z423" s="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</row>
    <row r="424" spans="2:47" ht="12.75" customHeight="1" x14ac:dyDescent="0.4">
      <c r="B424" s="1"/>
      <c r="C424" s="1"/>
      <c r="E424" s="12"/>
      <c r="F424" s="12"/>
      <c r="H424" s="1"/>
      <c r="J424" s="1"/>
      <c r="L424" s="1"/>
      <c r="N424" s="1"/>
      <c r="P424" s="1"/>
      <c r="T424" s="1"/>
      <c r="Z424" s="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</row>
    <row r="425" spans="2:47" ht="12.75" customHeight="1" x14ac:dyDescent="0.4">
      <c r="B425" s="1"/>
      <c r="C425" s="1"/>
      <c r="E425" s="12"/>
      <c r="F425" s="12"/>
      <c r="H425" s="1"/>
      <c r="J425" s="1"/>
      <c r="L425" s="1"/>
      <c r="N425" s="1"/>
      <c r="P425" s="1"/>
      <c r="T425" s="1"/>
      <c r="Z425" s="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</row>
    <row r="426" spans="2:47" ht="12.75" customHeight="1" x14ac:dyDescent="0.4">
      <c r="B426" s="1"/>
      <c r="C426" s="1"/>
      <c r="E426" s="12"/>
      <c r="F426" s="12"/>
      <c r="H426" s="1"/>
      <c r="J426" s="1"/>
      <c r="L426" s="1"/>
      <c r="N426" s="1"/>
      <c r="P426" s="1"/>
      <c r="T426" s="1"/>
      <c r="Z426" s="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</row>
    <row r="427" spans="2:47" ht="12.75" customHeight="1" x14ac:dyDescent="0.4">
      <c r="B427" s="1"/>
      <c r="C427" s="1"/>
      <c r="E427" s="12"/>
      <c r="F427" s="12"/>
      <c r="H427" s="1"/>
      <c r="J427" s="1"/>
      <c r="L427" s="1"/>
      <c r="N427" s="1"/>
      <c r="P427" s="1"/>
      <c r="T427" s="1"/>
      <c r="Z427" s="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</row>
    <row r="428" spans="2:47" ht="12.75" customHeight="1" x14ac:dyDescent="0.4">
      <c r="B428" s="1"/>
      <c r="C428" s="1"/>
      <c r="E428" s="12"/>
      <c r="F428" s="12"/>
      <c r="H428" s="1"/>
      <c r="J428" s="1"/>
      <c r="L428" s="1"/>
      <c r="N428" s="1"/>
      <c r="P428" s="1"/>
      <c r="T428" s="1"/>
      <c r="Z428" s="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</row>
    <row r="429" spans="2:47" ht="12.75" customHeight="1" x14ac:dyDescent="0.4">
      <c r="B429" s="1"/>
      <c r="C429" s="1"/>
      <c r="E429" s="12"/>
      <c r="F429" s="12"/>
      <c r="H429" s="1"/>
      <c r="J429" s="1"/>
      <c r="L429" s="1"/>
      <c r="N429" s="1"/>
      <c r="P429" s="1"/>
      <c r="T429" s="1"/>
      <c r="Z429" s="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</row>
    <row r="430" spans="2:47" ht="12.75" customHeight="1" x14ac:dyDescent="0.4">
      <c r="B430" s="1"/>
      <c r="C430" s="1"/>
      <c r="E430" s="12"/>
      <c r="F430" s="12"/>
      <c r="H430" s="1"/>
      <c r="J430" s="1"/>
      <c r="L430" s="1"/>
      <c r="N430" s="1"/>
      <c r="P430" s="1"/>
      <c r="T430" s="1"/>
      <c r="Z430" s="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</row>
    <row r="431" spans="2:47" ht="12.75" customHeight="1" x14ac:dyDescent="0.4">
      <c r="B431" s="1"/>
      <c r="C431" s="1"/>
      <c r="E431" s="12"/>
      <c r="F431" s="12"/>
      <c r="H431" s="1"/>
      <c r="J431" s="1"/>
      <c r="L431" s="1"/>
      <c r="N431" s="1"/>
      <c r="P431" s="1"/>
      <c r="T431" s="1"/>
      <c r="Z431" s="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</row>
    <row r="432" spans="2:47" ht="12.75" customHeight="1" x14ac:dyDescent="0.4">
      <c r="B432" s="1"/>
      <c r="C432" s="1"/>
      <c r="E432" s="12"/>
      <c r="F432" s="12"/>
      <c r="H432" s="1"/>
      <c r="J432" s="1"/>
      <c r="L432" s="1"/>
      <c r="N432" s="1"/>
      <c r="P432" s="1"/>
      <c r="T432" s="1"/>
      <c r="Z432" s="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</row>
    <row r="433" spans="2:47" ht="12.75" customHeight="1" x14ac:dyDescent="0.4">
      <c r="B433" s="1"/>
      <c r="C433" s="1"/>
      <c r="E433" s="12"/>
      <c r="F433" s="12"/>
      <c r="H433" s="1"/>
      <c r="J433" s="1"/>
      <c r="L433" s="1"/>
      <c r="N433" s="1"/>
      <c r="P433" s="1"/>
      <c r="T433" s="1"/>
      <c r="Z433" s="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</row>
    <row r="434" spans="2:47" ht="12.75" customHeight="1" x14ac:dyDescent="0.4">
      <c r="B434" s="1"/>
      <c r="C434" s="1"/>
      <c r="E434" s="12"/>
      <c r="F434" s="12"/>
      <c r="H434" s="1"/>
      <c r="J434" s="1"/>
      <c r="L434" s="1"/>
      <c r="N434" s="1"/>
      <c r="P434" s="1"/>
      <c r="T434" s="1"/>
      <c r="Z434" s="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</row>
    <row r="435" spans="2:47" ht="12.75" customHeight="1" x14ac:dyDescent="0.4">
      <c r="B435" s="1"/>
      <c r="C435" s="1"/>
      <c r="E435" s="12"/>
      <c r="F435" s="12"/>
      <c r="H435" s="1"/>
      <c r="J435" s="1"/>
      <c r="L435" s="1"/>
      <c r="N435" s="1"/>
      <c r="P435" s="1"/>
      <c r="T435" s="1"/>
      <c r="Z435" s="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</row>
    <row r="436" spans="2:47" ht="12.75" customHeight="1" x14ac:dyDescent="0.4">
      <c r="B436" s="1"/>
      <c r="C436" s="1"/>
      <c r="E436" s="12"/>
      <c r="F436" s="12"/>
      <c r="H436" s="1"/>
      <c r="J436" s="1"/>
      <c r="L436" s="1"/>
      <c r="N436" s="1"/>
      <c r="P436" s="1"/>
      <c r="T436" s="1"/>
      <c r="Z436" s="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</row>
    <row r="437" spans="2:47" ht="12.75" customHeight="1" x14ac:dyDescent="0.4">
      <c r="B437" s="1"/>
      <c r="C437" s="1"/>
      <c r="E437" s="12"/>
      <c r="F437" s="12"/>
      <c r="H437" s="1"/>
      <c r="J437" s="1"/>
      <c r="L437" s="1"/>
      <c r="N437" s="1"/>
      <c r="P437" s="1"/>
      <c r="T437" s="1"/>
      <c r="Z437" s="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</row>
    <row r="438" spans="2:47" ht="12.75" customHeight="1" x14ac:dyDescent="0.4">
      <c r="B438" s="1"/>
      <c r="C438" s="1"/>
      <c r="E438" s="12"/>
      <c r="F438" s="12"/>
      <c r="H438" s="1"/>
      <c r="J438" s="1"/>
      <c r="L438" s="1"/>
      <c r="N438" s="1"/>
      <c r="P438" s="1"/>
      <c r="T438" s="1"/>
      <c r="Z438" s="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</row>
    <row r="439" spans="2:47" ht="12.75" customHeight="1" x14ac:dyDescent="0.4">
      <c r="B439" s="1"/>
      <c r="C439" s="1"/>
      <c r="E439" s="12"/>
      <c r="F439" s="12"/>
      <c r="H439" s="1"/>
      <c r="J439" s="1"/>
      <c r="L439" s="1"/>
      <c r="N439" s="1"/>
      <c r="P439" s="1"/>
      <c r="T439" s="1"/>
      <c r="Z439" s="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</row>
    <row r="440" spans="2:47" ht="12.75" customHeight="1" x14ac:dyDescent="0.4">
      <c r="B440" s="1"/>
      <c r="C440" s="1"/>
      <c r="E440" s="12"/>
      <c r="F440" s="12"/>
      <c r="H440" s="1"/>
      <c r="J440" s="1"/>
      <c r="L440" s="1"/>
      <c r="N440" s="1"/>
      <c r="P440" s="1"/>
      <c r="T440" s="1"/>
      <c r="Z440" s="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</row>
    <row r="441" spans="2:47" ht="12.75" customHeight="1" x14ac:dyDescent="0.4">
      <c r="B441" s="1"/>
      <c r="C441" s="1"/>
      <c r="E441" s="12"/>
      <c r="F441" s="12"/>
      <c r="H441" s="1"/>
      <c r="J441" s="1"/>
      <c r="L441" s="1"/>
      <c r="N441" s="1"/>
      <c r="P441" s="1"/>
      <c r="T441" s="1"/>
      <c r="Z441" s="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</row>
    <row r="442" spans="2:47" ht="12.75" customHeight="1" x14ac:dyDescent="0.4">
      <c r="B442" s="1"/>
      <c r="C442" s="1"/>
      <c r="E442" s="12"/>
      <c r="F442" s="12"/>
      <c r="H442" s="1"/>
      <c r="J442" s="1"/>
      <c r="L442" s="1"/>
      <c r="N442" s="1"/>
      <c r="P442" s="1"/>
      <c r="T442" s="1"/>
      <c r="Z442" s="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</row>
    <row r="443" spans="2:47" ht="12.75" customHeight="1" x14ac:dyDescent="0.4">
      <c r="B443" s="1"/>
      <c r="C443" s="1"/>
      <c r="E443" s="12"/>
      <c r="F443" s="12"/>
      <c r="H443" s="1"/>
      <c r="J443" s="1"/>
      <c r="L443" s="1"/>
      <c r="N443" s="1"/>
      <c r="P443" s="1"/>
      <c r="T443" s="1"/>
      <c r="Z443" s="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</row>
    <row r="444" spans="2:47" ht="12.75" customHeight="1" x14ac:dyDescent="0.4">
      <c r="B444" s="1"/>
      <c r="C444" s="1"/>
      <c r="E444" s="12"/>
      <c r="F444" s="12"/>
      <c r="H444" s="1"/>
      <c r="J444" s="1"/>
      <c r="L444" s="1"/>
      <c r="N444" s="1"/>
      <c r="P444" s="1"/>
      <c r="T444" s="1"/>
      <c r="Z444" s="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</row>
    <row r="445" spans="2:47" ht="12.75" customHeight="1" x14ac:dyDescent="0.4">
      <c r="B445" s="1"/>
      <c r="C445" s="1"/>
      <c r="E445" s="12"/>
      <c r="F445" s="12"/>
      <c r="H445" s="1"/>
      <c r="J445" s="1"/>
      <c r="L445" s="1"/>
      <c r="N445" s="1"/>
      <c r="P445" s="1"/>
      <c r="T445" s="1"/>
      <c r="Z445" s="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</row>
    <row r="446" spans="2:47" ht="12.75" customHeight="1" x14ac:dyDescent="0.4">
      <c r="B446" s="1"/>
      <c r="C446" s="1"/>
      <c r="E446" s="12"/>
      <c r="F446" s="12"/>
      <c r="H446" s="1"/>
      <c r="J446" s="1"/>
      <c r="L446" s="1"/>
      <c r="N446" s="1"/>
      <c r="P446" s="1"/>
      <c r="T446" s="1"/>
      <c r="Z446" s="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</row>
    <row r="447" spans="2:47" ht="12.75" customHeight="1" x14ac:dyDescent="0.4">
      <c r="B447" s="1"/>
      <c r="C447" s="1"/>
      <c r="E447" s="12"/>
      <c r="F447" s="12"/>
      <c r="H447" s="1"/>
      <c r="J447" s="1"/>
      <c r="L447" s="1"/>
      <c r="N447" s="1"/>
      <c r="P447" s="1"/>
      <c r="T447" s="1"/>
      <c r="Z447" s="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</row>
    <row r="448" spans="2:47" ht="12.75" customHeight="1" x14ac:dyDescent="0.4">
      <c r="B448" s="1"/>
      <c r="C448" s="1"/>
      <c r="E448" s="12"/>
      <c r="F448" s="12"/>
      <c r="H448" s="1"/>
      <c r="J448" s="1"/>
      <c r="L448" s="1"/>
      <c r="N448" s="1"/>
      <c r="P448" s="1"/>
      <c r="T448" s="1"/>
      <c r="Z448" s="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</row>
    <row r="449" spans="2:47" ht="12.75" customHeight="1" x14ac:dyDescent="0.4">
      <c r="B449" s="1"/>
      <c r="C449" s="1"/>
      <c r="E449" s="12"/>
      <c r="F449" s="12"/>
      <c r="H449" s="1"/>
      <c r="J449" s="1"/>
      <c r="L449" s="1"/>
      <c r="N449" s="1"/>
      <c r="P449" s="1"/>
      <c r="T449" s="1"/>
      <c r="Z449" s="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</row>
    <row r="450" spans="2:47" ht="12.75" customHeight="1" x14ac:dyDescent="0.4">
      <c r="B450" s="1"/>
      <c r="C450" s="1"/>
      <c r="E450" s="12"/>
      <c r="F450" s="12"/>
      <c r="H450" s="1"/>
      <c r="J450" s="1"/>
      <c r="L450" s="1"/>
      <c r="N450" s="1"/>
      <c r="P450" s="1"/>
      <c r="T450" s="1"/>
      <c r="Z450" s="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</row>
    <row r="451" spans="2:47" ht="12.75" customHeight="1" x14ac:dyDescent="0.4">
      <c r="B451" s="1"/>
      <c r="C451" s="1"/>
      <c r="E451" s="12"/>
      <c r="F451" s="12"/>
      <c r="H451" s="1"/>
      <c r="J451" s="1"/>
      <c r="L451" s="1"/>
      <c r="N451" s="1"/>
      <c r="P451" s="1"/>
      <c r="T451" s="1"/>
      <c r="Z451" s="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</row>
    <row r="452" spans="2:47" ht="12.75" customHeight="1" x14ac:dyDescent="0.4">
      <c r="B452" s="1"/>
      <c r="C452" s="1"/>
      <c r="E452" s="12"/>
      <c r="F452" s="12"/>
      <c r="H452" s="1"/>
      <c r="J452" s="1"/>
      <c r="L452" s="1"/>
      <c r="N452" s="1"/>
      <c r="P452" s="1"/>
      <c r="T452" s="1"/>
      <c r="Z452" s="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</row>
    <row r="453" spans="2:47" ht="12.75" customHeight="1" x14ac:dyDescent="0.4">
      <c r="B453" s="1"/>
      <c r="C453" s="1"/>
      <c r="E453" s="12"/>
      <c r="F453" s="12"/>
      <c r="H453" s="1"/>
      <c r="J453" s="1"/>
      <c r="L453" s="1"/>
      <c r="N453" s="1"/>
      <c r="P453" s="1"/>
      <c r="T453" s="1"/>
      <c r="Z453" s="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</row>
    <row r="454" spans="2:47" ht="12.75" customHeight="1" x14ac:dyDescent="0.4">
      <c r="B454" s="1"/>
      <c r="C454" s="1"/>
      <c r="E454" s="12"/>
      <c r="F454" s="12"/>
      <c r="H454" s="1"/>
      <c r="J454" s="1"/>
      <c r="L454" s="1"/>
      <c r="N454" s="1"/>
      <c r="P454" s="1"/>
      <c r="T454" s="1"/>
      <c r="Z454" s="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</row>
    <row r="455" spans="2:47" ht="12.75" customHeight="1" x14ac:dyDescent="0.4">
      <c r="B455" s="1"/>
      <c r="C455" s="1"/>
      <c r="E455" s="12"/>
      <c r="F455" s="12"/>
      <c r="H455" s="1"/>
      <c r="J455" s="1"/>
      <c r="L455" s="1"/>
      <c r="N455" s="1"/>
      <c r="P455" s="1"/>
      <c r="T455" s="1"/>
      <c r="Z455" s="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</row>
    <row r="456" spans="2:47" ht="12.75" customHeight="1" x14ac:dyDescent="0.4">
      <c r="B456" s="1"/>
      <c r="C456" s="1"/>
      <c r="E456" s="12"/>
      <c r="F456" s="12"/>
      <c r="H456" s="1"/>
      <c r="J456" s="1"/>
      <c r="L456" s="1"/>
      <c r="N456" s="1"/>
      <c r="P456" s="1"/>
      <c r="T456" s="1"/>
      <c r="Z456" s="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</row>
    <row r="457" spans="2:47" ht="12.75" customHeight="1" x14ac:dyDescent="0.4">
      <c r="B457" s="1"/>
      <c r="C457" s="1"/>
      <c r="E457" s="12"/>
      <c r="F457" s="12"/>
      <c r="H457" s="1"/>
      <c r="J457" s="1"/>
      <c r="L457" s="1"/>
      <c r="N457" s="1"/>
      <c r="P457" s="1"/>
      <c r="T457" s="1"/>
      <c r="Z457" s="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</row>
    <row r="458" spans="2:47" ht="12.75" customHeight="1" x14ac:dyDescent="0.4">
      <c r="B458" s="1"/>
      <c r="C458" s="1"/>
      <c r="E458" s="12"/>
      <c r="F458" s="12"/>
      <c r="H458" s="1"/>
      <c r="J458" s="1"/>
      <c r="L458" s="1"/>
      <c r="N458" s="1"/>
      <c r="P458" s="1"/>
      <c r="T458" s="1"/>
      <c r="Z458" s="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</row>
    <row r="459" spans="2:47" ht="12.75" customHeight="1" x14ac:dyDescent="0.4">
      <c r="B459" s="1"/>
      <c r="C459" s="1"/>
      <c r="E459" s="12"/>
      <c r="F459" s="12"/>
      <c r="H459" s="1"/>
      <c r="J459" s="1"/>
      <c r="L459" s="1"/>
      <c r="N459" s="1"/>
      <c r="P459" s="1"/>
      <c r="T459" s="1"/>
      <c r="Z459" s="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</row>
    <row r="460" spans="2:47" ht="12.75" customHeight="1" x14ac:dyDescent="0.4">
      <c r="B460" s="1"/>
      <c r="C460" s="1"/>
      <c r="E460" s="12"/>
      <c r="F460" s="12"/>
      <c r="H460" s="1"/>
      <c r="J460" s="1"/>
      <c r="L460" s="1"/>
      <c r="N460" s="1"/>
      <c r="P460" s="1"/>
      <c r="T460" s="1"/>
      <c r="Z460" s="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</row>
    <row r="461" spans="2:47" ht="12.75" customHeight="1" x14ac:dyDescent="0.4">
      <c r="B461" s="1"/>
      <c r="C461" s="1"/>
      <c r="E461" s="12"/>
      <c r="F461" s="12"/>
      <c r="H461" s="1"/>
      <c r="J461" s="1"/>
      <c r="L461" s="1"/>
      <c r="N461" s="1"/>
      <c r="P461" s="1"/>
      <c r="T461" s="1"/>
      <c r="Z461" s="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</row>
    <row r="462" spans="2:47" ht="12.75" customHeight="1" x14ac:dyDescent="0.4">
      <c r="B462" s="1"/>
      <c r="C462" s="1"/>
      <c r="E462" s="12"/>
      <c r="F462" s="12"/>
      <c r="H462" s="1"/>
      <c r="J462" s="1"/>
      <c r="L462" s="1"/>
      <c r="N462" s="1"/>
      <c r="P462" s="1"/>
      <c r="T462" s="1"/>
      <c r="Z462" s="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</row>
    <row r="463" spans="2:47" ht="12.75" customHeight="1" x14ac:dyDescent="0.4">
      <c r="B463" s="1"/>
      <c r="C463" s="1"/>
      <c r="E463" s="12"/>
      <c r="F463" s="12"/>
      <c r="H463" s="1"/>
      <c r="J463" s="1"/>
      <c r="L463" s="1"/>
      <c r="N463" s="1"/>
      <c r="P463" s="1"/>
      <c r="T463" s="1"/>
      <c r="Z463" s="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</row>
    <row r="464" spans="2:47" ht="12.75" customHeight="1" x14ac:dyDescent="0.4">
      <c r="B464" s="1"/>
      <c r="C464" s="1"/>
      <c r="E464" s="12"/>
      <c r="F464" s="12"/>
      <c r="H464" s="1"/>
      <c r="J464" s="1"/>
      <c r="L464" s="1"/>
      <c r="N464" s="1"/>
      <c r="P464" s="1"/>
      <c r="T464" s="1"/>
      <c r="Z464" s="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</row>
    <row r="465" spans="2:47" ht="12.75" customHeight="1" x14ac:dyDescent="0.4">
      <c r="B465" s="1"/>
      <c r="C465" s="1"/>
      <c r="E465" s="12"/>
      <c r="F465" s="12"/>
      <c r="H465" s="1"/>
      <c r="J465" s="1"/>
      <c r="L465" s="1"/>
      <c r="N465" s="1"/>
      <c r="P465" s="1"/>
      <c r="T465" s="1"/>
      <c r="Z465" s="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</row>
    <row r="466" spans="2:47" ht="12.75" customHeight="1" x14ac:dyDescent="0.4">
      <c r="B466" s="1"/>
      <c r="C466" s="1"/>
      <c r="E466" s="12"/>
      <c r="F466" s="12"/>
      <c r="H466" s="1"/>
      <c r="J466" s="1"/>
      <c r="L466" s="1"/>
      <c r="N466" s="1"/>
      <c r="P466" s="1"/>
      <c r="T466" s="1"/>
      <c r="Z466" s="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</row>
    <row r="467" spans="2:47" ht="12.75" customHeight="1" x14ac:dyDescent="0.4">
      <c r="B467" s="1"/>
      <c r="C467" s="1"/>
      <c r="E467" s="12"/>
      <c r="F467" s="12"/>
      <c r="H467" s="1"/>
      <c r="J467" s="1"/>
      <c r="L467" s="1"/>
      <c r="N467" s="1"/>
      <c r="P467" s="1"/>
      <c r="T467" s="1"/>
      <c r="Z467" s="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</row>
    <row r="468" spans="2:47" ht="12.75" customHeight="1" x14ac:dyDescent="0.4">
      <c r="B468" s="1"/>
      <c r="C468" s="1"/>
      <c r="E468" s="12"/>
      <c r="F468" s="12"/>
      <c r="H468" s="1"/>
      <c r="J468" s="1"/>
      <c r="L468" s="1"/>
      <c r="N468" s="1"/>
      <c r="P468" s="1"/>
      <c r="T468" s="1"/>
      <c r="Z468" s="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</row>
    <row r="469" spans="2:47" ht="12.75" customHeight="1" x14ac:dyDescent="0.4">
      <c r="B469" s="1"/>
      <c r="C469" s="1"/>
      <c r="E469" s="12"/>
      <c r="F469" s="12"/>
      <c r="H469" s="1"/>
      <c r="J469" s="1"/>
      <c r="L469" s="1"/>
      <c r="N469" s="1"/>
      <c r="P469" s="1"/>
      <c r="T469" s="1"/>
      <c r="Z469" s="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</row>
    <row r="470" spans="2:47" ht="12.75" customHeight="1" x14ac:dyDescent="0.4">
      <c r="B470" s="1"/>
      <c r="C470" s="1"/>
      <c r="E470" s="12"/>
      <c r="F470" s="12"/>
      <c r="H470" s="1"/>
      <c r="J470" s="1"/>
      <c r="L470" s="1"/>
      <c r="N470" s="1"/>
      <c r="P470" s="1"/>
      <c r="T470" s="1"/>
      <c r="Z470" s="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</row>
    <row r="471" spans="2:47" ht="12.75" customHeight="1" x14ac:dyDescent="0.4">
      <c r="B471" s="1"/>
      <c r="C471" s="1"/>
      <c r="E471" s="12"/>
      <c r="F471" s="12"/>
      <c r="H471" s="1"/>
      <c r="J471" s="1"/>
      <c r="L471" s="1"/>
      <c r="N471" s="1"/>
      <c r="P471" s="1"/>
      <c r="T471" s="1"/>
      <c r="Z471" s="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</row>
    <row r="472" spans="2:47" ht="12.75" customHeight="1" x14ac:dyDescent="0.4">
      <c r="B472" s="1"/>
      <c r="C472" s="1"/>
      <c r="E472" s="12"/>
      <c r="F472" s="12"/>
      <c r="H472" s="1"/>
      <c r="J472" s="1"/>
      <c r="L472" s="1"/>
      <c r="N472" s="1"/>
      <c r="P472" s="1"/>
      <c r="T472" s="1"/>
      <c r="Z472" s="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</row>
    <row r="473" spans="2:47" ht="12.75" customHeight="1" x14ac:dyDescent="0.4">
      <c r="B473" s="1"/>
      <c r="C473" s="1"/>
      <c r="E473" s="12"/>
      <c r="F473" s="12"/>
      <c r="H473" s="1"/>
      <c r="J473" s="1"/>
      <c r="L473" s="1"/>
      <c r="N473" s="1"/>
      <c r="P473" s="1"/>
      <c r="T473" s="1"/>
      <c r="Z473" s="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</row>
    <row r="474" spans="2:47" ht="12.75" customHeight="1" x14ac:dyDescent="0.4">
      <c r="B474" s="1"/>
      <c r="C474" s="1"/>
      <c r="E474" s="12"/>
      <c r="F474" s="12"/>
      <c r="H474" s="1"/>
      <c r="J474" s="1"/>
      <c r="L474" s="1"/>
      <c r="N474" s="1"/>
      <c r="P474" s="1"/>
      <c r="T474" s="1"/>
      <c r="Z474" s="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</row>
    <row r="475" spans="2:47" ht="12.75" customHeight="1" x14ac:dyDescent="0.4">
      <c r="B475" s="1"/>
      <c r="C475" s="1"/>
      <c r="E475" s="12"/>
      <c r="F475" s="12"/>
      <c r="H475" s="1"/>
      <c r="J475" s="1"/>
      <c r="L475" s="1"/>
      <c r="N475" s="1"/>
      <c r="P475" s="1"/>
      <c r="T475" s="1"/>
      <c r="Z475" s="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</row>
    <row r="476" spans="2:47" ht="12.75" customHeight="1" x14ac:dyDescent="0.4">
      <c r="B476" s="1"/>
      <c r="C476" s="1"/>
      <c r="E476" s="12"/>
      <c r="F476" s="12"/>
      <c r="H476" s="1"/>
      <c r="J476" s="1"/>
      <c r="L476" s="1"/>
      <c r="N476" s="1"/>
      <c r="P476" s="1"/>
      <c r="T476" s="1"/>
      <c r="Z476" s="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</row>
    <row r="477" spans="2:47" ht="12.75" customHeight="1" x14ac:dyDescent="0.4">
      <c r="B477" s="1"/>
      <c r="C477" s="1"/>
      <c r="E477" s="12"/>
      <c r="F477" s="12"/>
      <c r="H477" s="1"/>
      <c r="J477" s="1"/>
      <c r="L477" s="1"/>
      <c r="N477" s="1"/>
      <c r="P477" s="1"/>
      <c r="T477" s="1"/>
      <c r="Z477" s="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</row>
    <row r="478" spans="2:47" ht="12.75" customHeight="1" x14ac:dyDescent="0.4">
      <c r="B478" s="1"/>
      <c r="C478" s="1"/>
      <c r="E478" s="12"/>
      <c r="F478" s="12"/>
      <c r="H478" s="1"/>
      <c r="J478" s="1"/>
      <c r="L478" s="1"/>
      <c r="N478" s="1"/>
      <c r="P478" s="1"/>
      <c r="T478" s="1"/>
      <c r="Z478" s="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</row>
    <row r="479" spans="2:47" ht="12.75" customHeight="1" x14ac:dyDescent="0.4">
      <c r="B479" s="1"/>
      <c r="C479" s="1"/>
      <c r="E479" s="12"/>
      <c r="F479" s="12"/>
      <c r="H479" s="1"/>
      <c r="J479" s="1"/>
      <c r="L479" s="1"/>
      <c r="N479" s="1"/>
      <c r="P479" s="1"/>
      <c r="T479" s="1"/>
      <c r="Z479" s="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</row>
    <row r="480" spans="2:47" ht="12.75" customHeight="1" x14ac:dyDescent="0.4">
      <c r="B480" s="1"/>
      <c r="C480" s="1"/>
      <c r="E480" s="12"/>
      <c r="F480" s="12"/>
      <c r="H480" s="1"/>
      <c r="J480" s="1"/>
      <c r="L480" s="1"/>
      <c r="N480" s="1"/>
      <c r="P480" s="1"/>
      <c r="T480" s="1"/>
      <c r="Z480" s="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</row>
    <row r="481" spans="2:47" ht="12.75" customHeight="1" x14ac:dyDescent="0.4">
      <c r="B481" s="1"/>
      <c r="C481" s="1"/>
      <c r="E481" s="12"/>
      <c r="F481" s="12"/>
      <c r="H481" s="1"/>
      <c r="J481" s="1"/>
      <c r="L481" s="1"/>
      <c r="N481" s="1"/>
      <c r="P481" s="1"/>
      <c r="T481" s="1"/>
      <c r="Z481" s="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</row>
    <row r="482" spans="2:47" ht="12.75" customHeight="1" x14ac:dyDescent="0.4">
      <c r="B482" s="1"/>
      <c r="C482" s="1"/>
      <c r="E482" s="12"/>
      <c r="F482" s="12"/>
      <c r="H482" s="1"/>
      <c r="J482" s="1"/>
      <c r="L482" s="1"/>
      <c r="N482" s="1"/>
      <c r="P482" s="1"/>
      <c r="T482" s="1"/>
      <c r="Z482" s="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</row>
    <row r="483" spans="2:47" ht="12.75" customHeight="1" x14ac:dyDescent="0.4">
      <c r="B483" s="1"/>
      <c r="C483" s="1"/>
      <c r="E483" s="12"/>
      <c r="F483" s="12"/>
      <c r="H483" s="1"/>
      <c r="J483" s="1"/>
      <c r="L483" s="1"/>
      <c r="N483" s="1"/>
      <c r="P483" s="1"/>
      <c r="T483" s="1"/>
      <c r="Z483" s="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</row>
    <row r="484" spans="2:47" ht="12.75" customHeight="1" x14ac:dyDescent="0.4">
      <c r="B484" s="1"/>
      <c r="C484" s="1"/>
      <c r="E484" s="12"/>
      <c r="F484" s="12"/>
      <c r="H484" s="1"/>
      <c r="J484" s="1"/>
      <c r="L484" s="1"/>
      <c r="N484" s="1"/>
      <c r="P484" s="1"/>
      <c r="T484" s="1"/>
      <c r="Z484" s="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</row>
    <row r="485" spans="2:47" ht="12.75" customHeight="1" x14ac:dyDescent="0.4">
      <c r="B485" s="1"/>
      <c r="C485" s="1"/>
      <c r="E485" s="12"/>
      <c r="F485" s="12"/>
      <c r="H485" s="1"/>
      <c r="J485" s="1"/>
      <c r="L485" s="1"/>
      <c r="N485" s="1"/>
      <c r="P485" s="1"/>
      <c r="T485" s="1"/>
      <c r="Z485" s="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</row>
    <row r="486" spans="2:47" ht="12.75" customHeight="1" x14ac:dyDescent="0.4">
      <c r="B486" s="1"/>
      <c r="C486" s="1"/>
      <c r="E486" s="12"/>
      <c r="F486" s="12"/>
      <c r="H486" s="1"/>
      <c r="J486" s="1"/>
      <c r="L486" s="1"/>
      <c r="N486" s="1"/>
      <c r="P486" s="1"/>
      <c r="T486" s="1"/>
      <c r="Z486" s="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</row>
    <row r="487" spans="2:47" ht="12.75" customHeight="1" x14ac:dyDescent="0.4">
      <c r="B487" s="1"/>
      <c r="C487" s="1"/>
      <c r="E487" s="12"/>
      <c r="F487" s="12"/>
      <c r="H487" s="1"/>
      <c r="J487" s="1"/>
      <c r="L487" s="1"/>
      <c r="N487" s="1"/>
      <c r="P487" s="1"/>
      <c r="T487" s="1"/>
      <c r="Z487" s="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</row>
    <row r="488" spans="2:47" ht="12.75" customHeight="1" x14ac:dyDescent="0.4">
      <c r="B488" s="1"/>
      <c r="C488" s="1"/>
      <c r="E488" s="12"/>
      <c r="F488" s="12"/>
      <c r="H488" s="1"/>
      <c r="J488" s="1"/>
      <c r="L488" s="1"/>
      <c r="N488" s="1"/>
      <c r="P488" s="1"/>
      <c r="T488" s="1"/>
      <c r="Z488" s="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</row>
    <row r="489" spans="2:47" ht="12.75" customHeight="1" x14ac:dyDescent="0.4">
      <c r="B489" s="1"/>
      <c r="C489" s="1"/>
      <c r="E489" s="12"/>
      <c r="F489" s="12"/>
      <c r="H489" s="1"/>
      <c r="J489" s="1"/>
      <c r="L489" s="1"/>
      <c r="N489" s="1"/>
      <c r="P489" s="1"/>
      <c r="T489" s="1"/>
      <c r="Z489" s="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</row>
    <row r="490" spans="2:47" ht="12.75" customHeight="1" x14ac:dyDescent="0.4">
      <c r="B490" s="1"/>
      <c r="C490" s="1"/>
      <c r="E490" s="12"/>
      <c r="F490" s="12"/>
      <c r="H490" s="1"/>
      <c r="J490" s="1"/>
      <c r="L490" s="1"/>
      <c r="N490" s="1"/>
      <c r="P490" s="1"/>
      <c r="T490" s="1"/>
      <c r="Z490" s="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</row>
    <row r="491" spans="2:47" ht="12.75" customHeight="1" x14ac:dyDescent="0.4">
      <c r="B491" s="1"/>
      <c r="C491" s="1"/>
      <c r="E491" s="12"/>
      <c r="F491" s="12"/>
      <c r="H491" s="1"/>
      <c r="J491" s="1"/>
      <c r="L491" s="1"/>
      <c r="N491" s="1"/>
      <c r="P491" s="1"/>
      <c r="T491" s="1"/>
      <c r="Z491" s="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</row>
    <row r="492" spans="2:47" ht="12.75" customHeight="1" x14ac:dyDescent="0.4">
      <c r="B492" s="1"/>
      <c r="C492" s="1"/>
      <c r="E492" s="12"/>
      <c r="F492" s="12"/>
      <c r="H492" s="1"/>
      <c r="J492" s="1"/>
      <c r="L492" s="1"/>
      <c r="N492" s="1"/>
      <c r="P492" s="1"/>
      <c r="T492" s="1"/>
      <c r="Z492" s="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</row>
    <row r="493" spans="2:47" ht="12.75" customHeight="1" x14ac:dyDescent="0.4">
      <c r="B493" s="1"/>
      <c r="C493" s="1"/>
      <c r="E493" s="12"/>
      <c r="F493" s="12"/>
      <c r="H493" s="1"/>
      <c r="J493" s="1"/>
      <c r="L493" s="1"/>
      <c r="N493" s="1"/>
      <c r="P493" s="1"/>
      <c r="T493" s="1"/>
      <c r="Z493" s="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</row>
    <row r="494" spans="2:47" ht="12.75" customHeight="1" x14ac:dyDescent="0.4">
      <c r="B494" s="1"/>
      <c r="C494" s="1"/>
      <c r="E494" s="12"/>
      <c r="F494" s="12"/>
      <c r="H494" s="1"/>
      <c r="J494" s="1"/>
      <c r="L494" s="1"/>
      <c r="N494" s="1"/>
      <c r="P494" s="1"/>
      <c r="T494" s="1"/>
      <c r="Z494" s="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</row>
    <row r="495" spans="2:47" ht="12.75" customHeight="1" x14ac:dyDescent="0.4">
      <c r="B495" s="1"/>
      <c r="C495" s="1"/>
      <c r="E495" s="12"/>
      <c r="F495" s="12"/>
      <c r="H495" s="1"/>
      <c r="J495" s="1"/>
      <c r="L495" s="1"/>
      <c r="N495" s="1"/>
      <c r="P495" s="1"/>
      <c r="T495" s="1"/>
      <c r="Z495" s="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</row>
    <row r="496" spans="2:47" ht="12.75" customHeight="1" x14ac:dyDescent="0.4">
      <c r="B496" s="1"/>
      <c r="C496" s="1"/>
      <c r="E496" s="12"/>
      <c r="F496" s="12"/>
      <c r="H496" s="1"/>
      <c r="J496" s="1"/>
      <c r="L496" s="1"/>
      <c r="N496" s="1"/>
      <c r="P496" s="1"/>
      <c r="T496" s="1"/>
      <c r="Z496" s="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</row>
    <row r="497" spans="2:47" ht="12.75" customHeight="1" x14ac:dyDescent="0.4">
      <c r="B497" s="1"/>
      <c r="C497" s="1"/>
      <c r="E497" s="12"/>
      <c r="F497" s="12"/>
      <c r="H497" s="1"/>
      <c r="J497" s="1"/>
      <c r="L497" s="1"/>
      <c r="N497" s="1"/>
      <c r="P497" s="1"/>
      <c r="T497" s="1"/>
      <c r="Z497" s="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</row>
    <row r="498" spans="2:47" ht="12.75" customHeight="1" x14ac:dyDescent="0.4">
      <c r="B498" s="1"/>
      <c r="C498" s="1"/>
      <c r="E498" s="12"/>
      <c r="F498" s="12"/>
      <c r="H498" s="1"/>
      <c r="J498" s="1"/>
      <c r="L498" s="1"/>
      <c r="N498" s="1"/>
      <c r="P498" s="1"/>
      <c r="T498" s="1"/>
      <c r="Z498" s="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</row>
    <row r="499" spans="2:47" ht="12.75" customHeight="1" x14ac:dyDescent="0.4">
      <c r="B499" s="1"/>
      <c r="C499" s="1"/>
      <c r="E499" s="12"/>
      <c r="F499" s="12"/>
      <c r="H499" s="1"/>
      <c r="J499" s="1"/>
      <c r="L499" s="1"/>
      <c r="N499" s="1"/>
      <c r="P499" s="1"/>
      <c r="T499" s="1"/>
      <c r="Z499" s="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</row>
    <row r="500" spans="2:47" ht="12.75" customHeight="1" x14ac:dyDescent="0.4">
      <c r="B500" s="1"/>
      <c r="C500" s="1"/>
      <c r="E500" s="12"/>
      <c r="F500" s="12"/>
      <c r="H500" s="1"/>
      <c r="J500" s="1"/>
      <c r="L500" s="1"/>
      <c r="N500" s="1"/>
      <c r="P500" s="1"/>
      <c r="T500" s="1"/>
      <c r="Z500" s="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</row>
    <row r="501" spans="2:47" ht="12.75" customHeight="1" x14ac:dyDescent="0.4">
      <c r="B501" s="1"/>
      <c r="C501" s="1"/>
      <c r="E501" s="12"/>
      <c r="F501" s="12"/>
      <c r="H501" s="1"/>
      <c r="J501" s="1"/>
      <c r="L501" s="1"/>
      <c r="N501" s="1"/>
      <c r="P501" s="1"/>
      <c r="T501" s="1"/>
      <c r="Z501" s="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</row>
    <row r="502" spans="2:47" ht="12.75" customHeight="1" x14ac:dyDescent="0.4">
      <c r="B502" s="1"/>
      <c r="C502" s="1"/>
      <c r="E502" s="12"/>
      <c r="F502" s="12"/>
      <c r="H502" s="1"/>
      <c r="J502" s="1"/>
      <c r="L502" s="1"/>
      <c r="N502" s="1"/>
      <c r="P502" s="1"/>
      <c r="T502" s="1"/>
      <c r="Z502" s="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</row>
    <row r="503" spans="2:47" ht="12.75" customHeight="1" x14ac:dyDescent="0.4">
      <c r="B503" s="1"/>
      <c r="C503" s="1"/>
      <c r="E503" s="12"/>
      <c r="F503" s="12"/>
      <c r="H503" s="1"/>
      <c r="J503" s="1"/>
      <c r="L503" s="1"/>
      <c r="N503" s="1"/>
      <c r="P503" s="1"/>
      <c r="T503" s="1"/>
      <c r="Z503" s="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</row>
    <row r="504" spans="2:47" ht="12.75" customHeight="1" x14ac:dyDescent="0.4">
      <c r="B504" s="1"/>
      <c r="C504" s="1"/>
      <c r="E504" s="12"/>
      <c r="F504" s="12"/>
      <c r="H504" s="1"/>
      <c r="J504" s="1"/>
      <c r="L504" s="1"/>
      <c r="N504" s="1"/>
      <c r="P504" s="1"/>
      <c r="T504" s="1"/>
      <c r="Z504" s="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</row>
    <row r="505" spans="2:47" ht="12.75" customHeight="1" x14ac:dyDescent="0.4">
      <c r="B505" s="1"/>
      <c r="C505" s="1"/>
      <c r="E505" s="12"/>
      <c r="F505" s="12"/>
      <c r="H505" s="1"/>
      <c r="J505" s="1"/>
      <c r="L505" s="1"/>
      <c r="N505" s="1"/>
      <c r="P505" s="1"/>
      <c r="T505" s="1"/>
      <c r="Z505" s="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</row>
    <row r="506" spans="2:47" ht="12.75" customHeight="1" x14ac:dyDescent="0.4">
      <c r="B506" s="1"/>
      <c r="C506" s="1"/>
      <c r="E506" s="12"/>
      <c r="F506" s="12"/>
      <c r="H506" s="1"/>
      <c r="J506" s="1"/>
      <c r="L506" s="1"/>
      <c r="N506" s="1"/>
      <c r="P506" s="1"/>
      <c r="T506" s="1"/>
      <c r="Z506" s="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</row>
    <row r="507" spans="2:47" ht="12.75" customHeight="1" x14ac:dyDescent="0.4">
      <c r="B507" s="1"/>
      <c r="C507" s="1"/>
      <c r="E507" s="12"/>
      <c r="F507" s="12"/>
      <c r="H507" s="1"/>
      <c r="J507" s="1"/>
      <c r="L507" s="1"/>
      <c r="N507" s="1"/>
      <c r="P507" s="1"/>
      <c r="T507" s="1"/>
      <c r="Z507" s="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</row>
    <row r="508" spans="2:47" ht="12.75" customHeight="1" x14ac:dyDescent="0.4">
      <c r="B508" s="1"/>
      <c r="C508" s="1"/>
      <c r="E508" s="12"/>
      <c r="F508" s="12"/>
      <c r="H508" s="1"/>
      <c r="J508" s="1"/>
      <c r="L508" s="1"/>
      <c r="N508" s="1"/>
      <c r="P508" s="1"/>
      <c r="T508" s="1"/>
      <c r="Z508" s="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</row>
    <row r="509" spans="2:47" ht="12.75" customHeight="1" x14ac:dyDescent="0.4">
      <c r="B509" s="1"/>
      <c r="C509" s="1"/>
      <c r="E509" s="12"/>
      <c r="F509" s="12"/>
      <c r="H509" s="1"/>
      <c r="J509" s="1"/>
      <c r="L509" s="1"/>
      <c r="N509" s="1"/>
      <c r="P509" s="1"/>
      <c r="T509" s="1"/>
      <c r="Z509" s="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</row>
    <row r="510" spans="2:47" ht="12.75" customHeight="1" x14ac:dyDescent="0.4">
      <c r="B510" s="1"/>
      <c r="C510" s="1"/>
      <c r="E510" s="12"/>
      <c r="F510" s="12"/>
      <c r="H510" s="1"/>
      <c r="J510" s="1"/>
      <c r="L510" s="1"/>
      <c r="N510" s="1"/>
      <c r="P510" s="1"/>
      <c r="T510" s="1"/>
      <c r="Z510" s="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</row>
    <row r="511" spans="2:47" ht="12.75" customHeight="1" x14ac:dyDescent="0.4">
      <c r="B511" s="1"/>
      <c r="C511" s="1"/>
      <c r="E511" s="12"/>
      <c r="F511" s="12"/>
      <c r="H511" s="1"/>
      <c r="J511" s="1"/>
      <c r="L511" s="1"/>
      <c r="N511" s="1"/>
      <c r="P511" s="1"/>
      <c r="T511" s="1"/>
      <c r="Z511" s="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</row>
    <row r="512" spans="2:47" ht="12.75" customHeight="1" x14ac:dyDescent="0.4">
      <c r="B512" s="1"/>
      <c r="C512" s="1"/>
      <c r="E512" s="12"/>
      <c r="F512" s="12"/>
      <c r="H512" s="1"/>
      <c r="J512" s="1"/>
      <c r="L512" s="1"/>
      <c r="N512" s="1"/>
      <c r="P512" s="1"/>
      <c r="T512" s="1"/>
      <c r="Z512" s="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</row>
    <row r="513" spans="2:47" ht="12.75" customHeight="1" x14ac:dyDescent="0.4">
      <c r="B513" s="1"/>
      <c r="C513" s="1"/>
      <c r="E513" s="12"/>
      <c r="F513" s="12"/>
      <c r="H513" s="1"/>
      <c r="J513" s="1"/>
      <c r="L513" s="1"/>
      <c r="N513" s="1"/>
      <c r="P513" s="1"/>
      <c r="T513" s="1"/>
      <c r="Z513" s="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</row>
    <row r="514" spans="2:47" ht="12.75" customHeight="1" x14ac:dyDescent="0.4">
      <c r="B514" s="1"/>
      <c r="C514" s="1"/>
      <c r="E514" s="12"/>
      <c r="F514" s="12"/>
      <c r="H514" s="1"/>
      <c r="J514" s="1"/>
      <c r="L514" s="1"/>
      <c r="N514" s="1"/>
      <c r="P514" s="1"/>
      <c r="T514" s="1"/>
      <c r="Z514" s="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</row>
    <row r="515" spans="2:47" ht="12.75" customHeight="1" x14ac:dyDescent="0.4">
      <c r="B515" s="1"/>
      <c r="C515" s="1"/>
      <c r="E515" s="12"/>
      <c r="F515" s="12"/>
      <c r="H515" s="1"/>
      <c r="J515" s="1"/>
      <c r="L515" s="1"/>
      <c r="N515" s="1"/>
      <c r="P515" s="1"/>
      <c r="T515" s="1"/>
      <c r="Z515" s="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</row>
    <row r="516" spans="2:47" ht="12.75" customHeight="1" x14ac:dyDescent="0.4">
      <c r="B516" s="1"/>
      <c r="C516" s="1"/>
      <c r="E516" s="12"/>
      <c r="F516" s="12"/>
      <c r="H516" s="1"/>
      <c r="J516" s="1"/>
      <c r="L516" s="1"/>
      <c r="N516" s="1"/>
      <c r="P516" s="1"/>
      <c r="T516" s="1"/>
      <c r="Z516" s="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</row>
    <row r="517" spans="2:47" ht="12.75" customHeight="1" x14ac:dyDescent="0.4">
      <c r="B517" s="1"/>
      <c r="C517" s="1"/>
      <c r="E517" s="12"/>
      <c r="F517" s="12"/>
      <c r="H517" s="1"/>
      <c r="J517" s="1"/>
      <c r="L517" s="1"/>
      <c r="N517" s="1"/>
      <c r="P517" s="1"/>
      <c r="T517" s="1"/>
      <c r="Z517" s="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</row>
    <row r="518" spans="2:47" ht="12.75" customHeight="1" x14ac:dyDescent="0.4">
      <c r="B518" s="1"/>
      <c r="C518" s="1"/>
      <c r="E518" s="12"/>
      <c r="F518" s="12"/>
      <c r="H518" s="1"/>
      <c r="J518" s="1"/>
      <c r="L518" s="1"/>
      <c r="N518" s="1"/>
      <c r="P518" s="1"/>
      <c r="T518" s="1"/>
      <c r="Z518" s="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</row>
    <row r="519" spans="2:47" ht="12.75" customHeight="1" x14ac:dyDescent="0.4">
      <c r="B519" s="1"/>
      <c r="C519" s="1"/>
      <c r="E519" s="12"/>
      <c r="F519" s="12"/>
      <c r="H519" s="1"/>
      <c r="J519" s="1"/>
      <c r="L519" s="1"/>
      <c r="N519" s="1"/>
      <c r="P519" s="1"/>
      <c r="T519" s="1"/>
      <c r="Z519" s="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</row>
    <row r="520" spans="2:47" ht="12.75" customHeight="1" x14ac:dyDescent="0.4">
      <c r="B520" s="1"/>
      <c r="C520" s="1"/>
      <c r="E520" s="12"/>
      <c r="F520" s="12"/>
      <c r="H520" s="1"/>
      <c r="J520" s="1"/>
      <c r="L520" s="1"/>
      <c r="N520" s="1"/>
      <c r="P520" s="1"/>
      <c r="T520" s="1"/>
      <c r="Z520" s="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</row>
    <row r="521" spans="2:47" ht="12.75" customHeight="1" x14ac:dyDescent="0.4">
      <c r="B521" s="1"/>
      <c r="C521" s="1"/>
      <c r="E521" s="12"/>
      <c r="F521" s="12"/>
      <c r="H521" s="1"/>
      <c r="J521" s="1"/>
      <c r="L521" s="1"/>
      <c r="N521" s="1"/>
      <c r="P521" s="1"/>
      <c r="T521" s="1"/>
      <c r="Z521" s="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</row>
    <row r="522" spans="2:47" ht="12.75" customHeight="1" x14ac:dyDescent="0.4">
      <c r="B522" s="1"/>
      <c r="C522" s="1"/>
      <c r="E522" s="12"/>
      <c r="F522" s="12"/>
      <c r="H522" s="1"/>
      <c r="J522" s="1"/>
      <c r="L522" s="1"/>
      <c r="N522" s="1"/>
      <c r="P522" s="1"/>
      <c r="T522" s="1"/>
      <c r="Z522" s="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</row>
    <row r="523" spans="2:47" ht="12.75" customHeight="1" x14ac:dyDescent="0.4">
      <c r="B523" s="1"/>
      <c r="C523" s="1"/>
      <c r="E523" s="12"/>
      <c r="F523" s="12"/>
      <c r="H523" s="1"/>
      <c r="J523" s="1"/>
      <c r="L523" s="1"/>
      <c r="N523" s="1"/>
      <c r="P523" s="1"/>
      <c r="T523" s="1"/>
      <c r="Z523" s="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</row>
    <row r="524" spans="2:47" ht="12.75" customHeight="1" x14ac:dyDescent="0.4">
      <c r="B524" s="1"/>
      <c r="C524" s="1"/>
      <c r="E524" s="12"/>
      <c r="F524" s="12"/>
      <c r="H524" s="1"/>
      <c r="J524" s="1"/>
      <c r="L524" s="1"/>
      <c r="N524" s="1"/>
      <c r="P524" s="1"/>
      <c r="T524" s="1"/>
      <c r="Z524" s="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</row>
    <row r="525" spans="2:47" ht="12.75" customHeight="1" x14ac:dyDescent="0.4">
      <c r="B525" s="1"/>
      <c r="C525" s="1"/>
      <c r="E525" s="12"/>
      <c r="F525" s="12"/>
      <c r="H525" s="1"/>
      <c r="J525" s="1"/>
      <c r="L525" s="1"/>
      <c r="N525" s="1"/>
      <c r="P525" s="1"/>
      <c r="T525" s="1"/>
      <c r="Z525" s="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</row>
    <row r="526" spans="2:47" ht="12.75" customHeight="1" x14ac:dyDescent="0.4">
      <c r="B526" s="1"/>
      <c r="C526" s="1"/>
      <c r="E526" s="12"/>
      <c r="F526" s="12"/>
      <c r="H526" s="1"/>
      <c r="J526" s="1"/>
      <c r="L526" s="1"/>
      <c r="N526" s="1"/>
      <c r="P526" s="1"/>
      <c r="T526" s="1"/>
      <c r="Z526" s="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</row>
    <row r="527" spans="2:47" ht="12.75" customHeight="1" x14ac:dyDescent="0.4">
      <c r="B527" s="1"/>
      <c r="C527" s="1"/>
      <c r="E527" s="12"/>
      <c r="F527" s="12"/>
      <c r="H527" s="1"/>
      <c r="J527" s="1"/>
      <c r="L527" s="1"/>
      <c r="N527" s="1"/>
      <c r="P527" s="1"/>
      <c r="T527" s="1"/>
      <c r="Z527" s="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</row>
    <row r="528" spans="2:47" ht="12.75" customHeight="1" x14ac:dyDescent="0.4">
      <c r="B528" s="1"/>
      <c r="C528" s="1"/>
      <c r="E528" s="12"/>
      <c r="F528" s="12"/>
      <c r="H528" s="1"/>
      <c r="J528" s="1"/>
      <c r="L528" s="1"/>
      <c r="N528" s="1"/>
      <c r="P528" s="1"/>
      <c r="T528" s="1"/>
      <c r="Z528" s="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</row>
    <row r="529" spans="2:47" ht="12.75" customHeight="1" x14ac:dyDescent="0.4">
      <c r="B529" s="1"/>
      <c r="C529" s="1"/>
      <c r="E529" s="12"/>
      <c r="F529" s="12"/>
      <c r="H529" s="1"/>
      <c r="J529" s="1"/>
      <c r="L529" s="1"/>
      <c r="N529" s="1"/>
      <c r="P529" s="1"/>
      <c r="T529" s="1"/>
      <c r="Z529" s="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</row>
    <row r="530" spans="2:47" ht="12.75" customHeight="1" x14ac:dyDescent="0.4">
      <c r="B530" s="1"/>
      <c r="C530" s="1"/>
      <c r="E530" s="12"/>
      <c r="F530" s="12"/>
      <c r="H530" s="1"/>
      <c r="J530" s="1"/>
      <c r="L530" s="1"/>
      <c r="N530" s="1"/>
      <c r="P530" s="1"/>
      <c r="T530" s="1"/>
      <c r="Z530" s="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</row>
    <row r="531" spans="2:47" ht="12.75" customHeight="1" x14ac:dyDescent="0.4">
      <c r="B531" s="1"/>
      <c r="C531" s="1"/>
      <c r="E531" s="12"/>
      <c r="F531" s="12"/>
      <c r="H531" s="1"/>
      <c r="J531" s="1"/>
      <c r="L531" s="1"/>
      <c r="N531" s="1"/>
      <c r="P531" s="1"/>
      <c r="T531" s="1"/>
      <c r="Z531" s="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</row>
    <row r="532" spans="2:47" ht="12.75" customHeight="1" x14ac:dyDescent="0.4">
      <c r="B532" s="1"/>
      <c r="C532" s="1"/>
      <c r="E532" s="12"/>
      <c r="F532" s="12"/>
      <c r="H532" s="1"/>
      <c r="J532" s="1"/>
      <c r="L532" s="1"/>
      <c r="N532" s="1"/>
      <c r="P532" s="1"/>
      <c r="T532" s="1"/>
      <c r="Z532" s="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</row>
    <row r="533" spans="2:47" ht="12.75" customHeight="1" x14ac:dyDescent="0.4">
      <c r="B533" s="1"/>
      <c r="C533" s="1"/>
      <c r="E533" s="12"/>
      <c r="F533" s="12"/>
      <c r="H533" s="1"/>
      <c r="J533" s="1"/>
      <c r="L533" s="1"/>
      <c r="N533" s="1"/>
      <c r="P533" s="1"/>
      <c r="T533" s="1"/>
      <c r="Z533" s="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</row>
    <row r="534" spans="2:47" ht="12.75" customHeight="1" x14ac:dyDescent="0.4">
      <c r="B534" s="1"/>
      <c r="C534" s="1"/>
      <c r="E534" s="12"/>
      <c r="F534" s="12"/>
      <c r="H534" s="1"/>
      <c r="J534" s="1"/>
      <c r="L534" s="1"/>
      <c r="N534" s="1"/>
      <c r="P534" s="1"/>
      <c r="T534" s="1"/>
      <c r="Z534" s="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</row>
    <row r="535" spans="2:47" ht="12.75" customHeight="1" x14ac:dyDescent="0.4">
      <c r="B535" s="1"/>
      <c r="C535" s="1"/>
      <c r="E535" s="12"/>
      <c r="F535" s="12"/>
      <c r="H535" s="1"/>
      <c r="J535" s="1"/>
      <c r="L535" s="1"/>
      <c r="N535" s="1"/>
      <c r="P535" s="1"/>
      <c r="T535" s="1"/>
      <c r="Z535" s="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</row>
    <row r="536" spans="2:47" ht="12.75" customHeight="1" x14ac:dyDescent="0.4">
      <c r="B536" s="1"/>
      <c r="C536" s="1"/>
      <c r="E536" s="12"/>
      <c r="F536" s="12"/>
      <c r="H536" s="1"/>
      <c r="J536" s="1"/>
      <c r="L536" s="1"/>
      <c r="N536" s="1"/>
      <c r="P536" s="1"/>
      <c r="T536" s="1"/>
      <c r="Z536" s="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</row>
    <row r="537" spans="2:47" ht="12.75" customHeight="1" x14ac:dyDescent="0.4">
      <c r="B537" s="1"/>
      <c r="C537" s="1"/>
      <c r="E537" s="12"/>
      <c r="F537" s="12"/>
      <c r="H537" s="1"/>
      <c r="J537" s="1"/>
      <c r="L537" s="1"/>
      <c r="N537" s="1"/>
      <c r="P537" s="1"/>
      <c r="T537" s="1"/>
      <c r="Z537" s="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</row>
    <row r="538" spans="2:47" ht="12.75" customHeight="1" x14ac:dyDescent="0.4">
      <c r="B538" s="1"/>
      <c r="C538" s="1"/>
      <c r="E538" s="12"/>
      <c r="F538" s="12"/>
      <c r="H538" s="1"/>
      <c r="J538" s="1"/>
      <c r="L538" s="1"/>
      <c r="N538" s="1"/>
      <c r="P538" s="1"/>
      <c r="T538" s="1"/>
      <c r="Z538" s="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</row>
    <row r="539" spans="2:47" ht="12.75" customHeight="1" x14ac:dyDescent="0.4">
      <c r="B539" s="1"/>
      <c r="C539" s="1"/>
      <c r="E539" s="12"/>
      <c r="F539" s="12"/>
      <c r="H539" s="1"/>
      <c r="J539" s="1"/>
      <c r="L539" s="1"/>
      <c r="N539" s="1"/>
      <c r="P539" s="1"/>
      <c r="T539" s="1"/>
      <c r="Z539" s="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</row>
    <row r="540" spans="2:47" ht="12.75" customHeight="1" x14ac:dyDescent="0.4">
      <c r="B540" s="1"/>
      <c r="C540" s="1"/>
      <c r="E540" s="12"/>
      <c r="F540" s="12"/>
      <c r="H540" s="1"/>
      <c r="J540" s="1"/>
      <c r="L540" s="1"/>
      <c r="N540" s="1"/>
      <c r="P540" s="1"/>
      <c r="T540" s="1"/>
      <c r="Z540" s="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</row>
    <row r="541" spans="2:47" ht="12.75" customHeight="1" x14ac:dyDescent="0.4">
      <c r="B541" s="1"/>
      <c r="C541" s="1"/>
      <c r="E541" s="12"/>
      <c r="F541" s="12"/>
      <c r="H541" s="1"/>
      <c r="J541" s="1"/>
      <c r="L541" s="1"/>
      <c r="N541" s="1"/>
      <c r="P541" s="1"/>
      <c r="T541" s="1"/>
      <c r="Z541" s="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</row>
    <row r="542" spans="2:47" ht="12.75" customHeight="1" x14ac:dyDescent="0.4">
      <c r="B542" s="1"/>
      <c r="C542" s="1"/>
      <c r="E542" s="12"/>
      <c r="F542" s="12"/>
      <c r="H542" s="1"/>
      <c r="J542" s="1"/>
      <c r="L542" s="1"/>
      <c r="N542" s="1"/>
      <c r="P542" s="1"/>
      <c r="T542" s="1"/>
      <c r="Z542" s="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</row>
    <row r="543" spans="2:47" ht="12.75" customHeight="1" x14ac:dyDescent="0.4">
      <c r="B543" s="1"/>
      <c r="C543" s="1"/>
      <c r="E543" s="12"/>
      <c r="F543" s="12"/>
      <c r="H543" s="1"/>
      <c r="J543" s="1"/>
      <c r="L543" s="1"/>
      <c r="N543" s="1"/>
      <c r="P543" s="1"/>
      <c r="T543" s="1"/>
      <c r="Z543" s="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</row>
    <row r="544" spans="2:47" ht="12.75" customHeight="1" x14ac:dyDescent="0.4">
      <c r="B544" s="1"/>
      <c r="C544" s="1"/>
      <c r="E544" s="12"/>
      <c r="F544" s="12"/>
      <c r="H544" s="1"/>
      <c r="J544" s="1"/>
      <c r="L544" s="1"/>
      <c r="N544" s="1"/>
      <c r="P544" s="1"/>
      <c r="T544" s="1"/>
      <c r="Z544" s="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</row>
    <row r="545" spans="2:47" ht="12.75" customHeight="1" x14ac:dyDescent="0.4">
      <c r="B545" s="1"/>
      <c r="C545" s="1"/>
      <c r="E545" s="12"/>
      <c r="F545" s="12"/>
      <c r="H545" s="1"/>
      <c r="J545" s="1"/>
      <c r="L545" s="1"/>
      <c r="N545" s="1"/>
      <c r="P545" s="1"/>
      <c r="T545" s="1"/>
      <c r="Z545" s="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</row>
    <row r="546" spans="2:47" ht="12.75" customHeight="1" x14ac:dyDescent="0.4">
      <c r="B546" s="1"/>
      <c r="C546" s="1"/>
      <c r="E546" s="12"/>
      <c r="F546" s="12"/>
      <c r="H546" s="1"/>
      <c r="J546" s="1"/>
      <c r="L546" s="1"/>
      <c r="N546" s="1"/>
      <c r="P546" s="1"/>
      <c r="T546" s="1"/>
      <c r="Z546" s="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</row>
    <row r="547" spans="2:47" ht="12.75" customHeight="1" x14ac:dyDescent="0.4">
      <c r="B547" s="1"/>
      <c r="C547" s="1"/>
      <c r="E547" s="12"/>
      <c r="F547" s="12"/>
      <c r="H547" s="1"/>
      <c r="J547" s="1"/>
      <c r="L547" s="1"/>
      <c r="N547" s="1"/>
      <c r="P547" s="1"/>
      <c r="T547" s="1"/>
      <c r="Z547" s="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</row>
    <row r="548" spans="2:47" ht="12.75" customHeight="1" x14ac:dyDescent="0.4">
      <c r="B548" s="1"/>
      <c r="C548" s="1"/>
      <c r="E548" s="12"/>
      <c r="F548" s="12"/>
      <c r="H548" s="1"/>
      <c r="J548" s="1"/>
      <c r="L548" s="1"/>
      <c r="N548" s="1"/>
      <c r="P548" s="1"/>
      <c r="T548" s="1"/>
      <c r="Z548" s="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</row>
    <row r="549" spans="2:47" ht="12.75" customHeight="1" x14ac:dyDescent="0.4">
      <c r="B549" s="1"/>
      <c r="C549" s="1"/>
      <c r="E549" s="12"/>
      <c r="F549" s="12"/>
      <c r="H549" s="1"/>
      <c r="J549" s="1"/>
      <c r="L549" s="1"/>
      <c r="N549" s="1"/>
      <c r="P549" s="1"/>
      <c r="T549" s="1"/>
      <c r="Z549" s="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</row>
    <row r="550" spans="2:47" ht="12.75" customHeight="1" x14ac:dyDescent="0.4">
      <c r="B550" s="1"/>
      <c r="C550" s="1"/>
      <c r="E550" s="12"/>
      <c r="F550" s="12"/>
      <c r="H550" s="1"/>
      <c r="J550" s="1"/>
      <c r="L550" s="1"/>
      <c r="N550" s="1"/>
      <c r="P550" s="1"/>
      <c r="T550" s="1"/>
      <c r="Z550" s="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</row>
    <row r="551" spans="2:47" ht="12.75" customHeight="1" x14ac:dyDescent="0.4">
      <c r="B551" s="1"/>
      <c r="C551" s="1"/>
      <c r="E551" s="12"/>
      <c r="F551" s="12"/>
      <c r="H551" s="1"/>
      <c r="J551" s="1"/>
      <c r="L551" s="1"/>
      <c r="N551" s="1"/>
      <c r="P551" s="1"/>
      <c r="T551" s="1"/>
      <c r="Z551" s="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</row>
    <row r="552" spans="2:47" ht="12.75" customHeight="1" x14ac:dyDescent="0.4">
      <c r="B552" s="1"/>
      <c r="C552" s="1"/>
      <c r="E552" s="12"/>
      <c r="F552" s="12"/>
      <c r="H552" s="1"/>
      <c r="J552" s="1"/>
      <c r="L552" s="1"/>
      <c r="N552" s="1"/>
      <c r="P552" s="1"/>
      <c r="T552" s="1"/>
      <c r="Z552" s="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</row>
    <row r="553" spans="2:47" ht="12.75" customHeight="1" x14ac:dyDescent="0.4">
      <c r="B553" s="1"/>
      <c r="C553" s="1"/>
      <c r="E553" s="12"/>
      <c r="F553" s="12"/>
      <c r="H553" s="1"/>
      <c r="J553" s="1"/>
      <c r="L553" s="1"/>
      <c r="N553" s="1"/>
      <c r="P553" s="1"/>
      <c r="T553" s="1"/>
      <c r="Z553" s="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</row>
    <row r="554" spans="2:47" ht="12.75" customHeight="1" x14ac:dyDescent="0.4">
      <c r="B554" s="1"/>
      <c r="C554" s="1"/>
      <c r="E554" s="12"/>
      <c r="F554" s="12"/>
      <c r="H554" s="1"/>
      <c r="J554" s="1"/>
      <c r="L554" s="1"/>
      <c r="N554" s="1"/>
      <c r="P554" s="1"/>
      <c r="T554" s="1"/>
      <c r="Z554" s="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</row>
    <row r="555" spans="2:47" ht="12.75" customHeight="1" x14ac:dyDescent="0.4">
      <c r="B555" s="1"/>
      <c r="C555" s="1"/>
      <c r="E555" s="12"/>
      <c r="F555" s="12"/>
      <c r="H555" s="1"/>
      <c r="J555" s="1"/>
      <c r="L555" s="1"/>
      <c r="N555" s="1"/>
      <c r="P555" s="1"/>
      <c r="T555" s="1"/>
      <c r="Z555" s="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</row>
    <row r="556" spans="2:47" ht="12.75" customHeight="1" x14ac:dyDescent="0.4">
      <c r="B556" s="1"/>
      <c r="C556" s="1"/>
      <c r="E556" s="12"/>
      <c r="F556" s="12"/>
      <c r="H556" s="1"/>
      <c r="J556" s="1"/>
      <c r="L556" s="1"/>
      <c r="N556" s="1"/>
      <c r="P556" s="1"/>
      <c r="T556" s="1"/>
      <c r="Z556" s="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</row>
    <row r="557" spans="2:47" ht="12.75" customHeight="1" x14ac:dyDescent="0.4">
      <c r="B557" s="1"/>
      <c r="C557" s="1"/>
      <c r="E557" s="12"/>
      <c r="F557" s="12"/>
      <c r="H557" s="1"/>
      <c r="J557" s="1"/>
      <c r="L557" s="1"/>
      <c r="N557" s="1"/>
      <c r="P557" s="1"/>
      <c r="T557" s="1"/>
      <c r="Z557" s="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</row>
    <row r="558" spans="2:47" ht="12.75" customHeight="1" x14ac:dyDescent="0.4">
      <c r="B558" s="1"/>
      <c r="C558" s="1"/>
      <c r="E558" s="12"/>
      <c r="F558" s="12"/>
      <c r="H558" s="1"/>
      <c r="J558" s="1"/>
      <c r="L558" s="1"/>
      <c r="N558" s="1"/>
      <c r="P558" s="1"/>
      <c r="T558" s="1"/>
      <c r="Z558" s="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</row>
    <row r="559" spans="2:47" ht="12.75" customHeight="1" x14ac:dyDescent="0.4">
      <c r="B559" s="1"/>
      <c r="C559" s="1"/>
      <c r="E559" s="12"/>
      <c r="F559" s="12"/>
      <c r="H559" s="1"/>
      <c r="J559" s="1"/>
      <c r="L559" s="1"/>
      <c r="N559" s="1"/>
      <c r="P559" s="1"/>
      <c r="T559" s="1"/>
      <c r="Z559" s="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</row>
    <row r="560" spans="2:47" ht="12.75" customHeight="1" x14ac:dyDescent="0.4">
      <c r="B560" s="1"/>
      <c r="C560" s="1"/>
      <c r="E560" s="12"/>
      <c r="F560" s="12"/>
      <c r="H560" s="1"/>
      <c r="J560" s="1"/>
      <c r="L560" s="1"/>
      <c r="N560" s="1"/>
      <c r="P560" s="1"/>
      <c r="T560" s="1"/>
      <c r="Z560" s="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</row>
    <row r="561" spans="2:47" ht="12.75" customHeight="1" x14ac:dyDescent="0.4">
      <c r="B561" s="1"/>
      <c r="C561" s="1"/>
      <c r="E561" s="12"/>
      <c r="F561" s="12"/>
      <c r="H561" s="1"/>
      <c r="J561" s="1"/>
      <c r="L561" s="1"/>
      <c r="N561" s="1"/>
      <c r="P561" s="1"/>
      <c r="T561" s="1"/>
      <c r="Z561" s="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</row>
    <row r="562" spans="2:47" ht="12.75" customHeight="1" x14ac:dyDescent="0.4">
      <c r="B562" s="1"/>
      <c r="C562" s="1"/>
      <c r="E562" s="12"/>
      <c r="F562" s="12"/>
      <c r="H562" s="1"/>
      <c r="J562" s="1"/>
      <c r="L562" s="1"/>
      <c r="N562" s="1"/>
      <c r="P562" s="1"/>
      <c r="T562" s="1"/>
      <c r="Z562" s="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</row>
    <row r="563" spans="2:47" ht="12.75" customHeight="1" x14ac:dyDescent="0.4">
      <c r="B563" s="1"/>
      <c r="C563" s="1"/>
      <c r="E563" s="12"/>
      <c r="F563" s="12"/>
      <c r="H563" s="1"/>
      <c r="J563" s="1"/>
      <c r="L563" s="1"/>
      <c r="N563" s="1"/>
      <c r="P563" s="1"/>
      <c r="T563" s="1"/>
      <c r="Z563" s="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</row>
    <row r="564" spans="2:47" ht="12.75" customHeight="1" x14ac:dyDescent="0.4">
      <c r="B564" s="1"/>
      <c r="C564" s="1"/>
      <c r="E564" s="12"/>
      <c r="F564" s="12"/>
      <c r="H564" s="1"/>
      <c r="J564" s="1"/>
      <c r="L564" s="1"/>
      <c r="N564" s="1"/>
      <c r="P564" s="1"/>
      <c r="T564" s="1"/>
      <c r="Z564" s="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</row>
    <row r="565" spans="2:47" ht="12.75" customHeight="1" x14ac:dyDescent="0.4">
      <c r="B565" s="1"/>
      <c r="C565" s="1"/>
      <c r="E565" s="12"/>
      <c r="F565" s="12"/>
      <c r="H565" s="1"/>
      <c r="J565" s="1"/>
      <c r="L565" s="1"/>
      <c r="N565" s="1"/>
      <c r="P565" s="1"/>
      <c r="T565" s="1"/>
      <c r="Z565" s="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</row>
    <row r="566" spans="2:47" ht="12.75" customHeight="1" x14ac:dyDescent="0.4">
      <c r="B566" s="1"/>
      <c r="C566" s="1"/>
      <c r="E566" s="12"/>
      <c r="F566" s="12"/>
      <c r="H566" s="1"/>
      <c r="J566" s="1"/>
      <c r="L566" s="1"/>
      <c r="N566" s="1"/>
      <c r="P566" s="1"/>
      <c r="T566" s="1"/>
      <c r="Z566" s="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</row>
    <row r="567" spans="2:47" ht="12.75" customHeight="1" x14ac:dyDescent="0.4">
      <c r="B567" s="1"/>
      <c r="C567" s="1"/>
      <c r="E567" s="12"/>
      <c r="F567" s="12"/>
      <c r="H567" s="1"/>
      <c r="J567" s="1"/>
      <c r="L567" s="1"/>
      <c r="N567" s="1"/>
      <c r="P567" s="1"/>
      <c r="T567" s="1"/>
      <c r="Z567" s="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</row>
    <row r="568" spans="2:47" ht="12.75" customHeight="1" x14ac:dyDescent="0.4">
      <c r="B568" s="1"/>
      <c r="C568" s="1"/>
      <c r="E568" s="12"/>
      <c r="F568" s="12"/>
      <c r="H568" s="1"/>
      <c r="J568" s="1"/>
      <c r="L568" s="1"/>
      <c r="N568" s="1"/>
      <c r="P568" s="1"/>
      <c r="T568" s="1"/>
      <c r="Z568" s="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</row>
    <row r="569" spans="2:47" ht="12.75" customHeight="1" x14ac:dyDescent="0.4">
      <c r="B569" s="1"/>
      <c r="C569" s="1"/>
      <c r="E569" s="12"/>
      <c r="F569" s="12"/>
      <c r="H569" s="1"/>
      <c r="J569" s="1"/>
      <c r="L569" s="1"/>
      <c r="N569" s="1"/>
      <c r="P569" s="1"/>
      <c r="T569" s="1"/>
      <c r="Z569" s="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</row>
    <row r="570" spans="2:47" ht="12.75" customHeight="1" x14ac:dyDescent="0.4">
      <c r="B570" s="1"/>
      <c r="C570" s="1"/>
      <c r="E570" s="12"/>
      <c r="F570" s="12"/>
      <c r="H570" s="1"/>
      <c r="J570" s="1"/>
      <c r="L570" s="1"/>
      <c r="N570" s="1"/>
      <c r="P570" s="1"/>
      <c r="T570" s="1"/>
      <c r="Z570" s="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</row>
  </sheetData>
  <autoFilter ref="A1:BC387" xr:uid="{00000000-0009-0000-0000-000004000000}">
    <sortState xmlns:xlrd2="http://schemas.microsoft.com/office/spreadsheetml/2017/richdata2" ref="A2:BC377">
      <sortCondition ref="B1:B377"/>
    </sortState>
  </autoFilter>
  <dataValidations count="1">
    <dataValidation type="decimal" showInputMessage="1" showErrorMessage="1" sqref="I1:I1048576" xr:uid="{686826BB-D57C-4E80-8E99-013DE4B65077}">
      <formula1>0.1</formula1>
      <formula2>100</formula2>
    </dataValidation>
  </dataValidation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Sedláčková</dc:creator>
  <cp:lastModifiedBy>Monika Sedláčková</cp:lastModifiedBy>
  <dcterms:created xsi:type="dcterms:W3CDTF">2026-03-30T08:21:38Z</dcterms:created>
  <dcterms:modified xsi:type="dcterms:W3CDTF">2026-03-30T16:22:46Z</dcterms:modified>
</cp:coreProperties>
</file>